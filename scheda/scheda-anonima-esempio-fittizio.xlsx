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struzioni" sheetId="1" state="visible" r:id="rId3"/>
    <sheet name="Scheda_1" sheetId="2" state="visible" r:id="rId4"/>
    <sheet name="Controlli_1" sheetId="3" state="visible" r:id="rId5"/>
    <sheet name="Scheda_2" sheetId="4" state="visible" r:id="rId6"/>
    <sheet name="Controlli_2" sheetId="5" state="visible" r:id="rId7"/>
    <sheet name="Elenchi" sheetId="6" state="visible" r:id="rId8"/>
  </sheets>
  <definedNames>
    <definedName function="false" hidden="false" localSheetId="1" name="_xlnm.Print_Titles" vbProcedure="false">Scheda_1!$6:$6</definedName>
    <definedName function="false" hidden="false" localSheetId="3" name="_xlnm.Print_Titles" vbProcedure="false">Scheda_2!$6:$6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<sst xmlns="http://schemas.openxmlformats.org/spreadsheetml/2006/main" count="5291" uniqueCount="1040">
  <si>
    <t xml:space="preserve">Comune di Ottaviano – Settore Urbanistica ed Edilizia Privata</t>
  </si>
  <si>
    <t xml:space="preserve">Scheda anonima di istruttoria – Istruzioni di compilazione (v1, 20/10/2026)</t>
  </si>
  <si>
    <t xml:space="preserve">Istruttoria di supporto: decisione e firma restano al responsabile del procedimento.</t>
  </si>
  <si>
    <t xml:space="preserve">A cosa serve</t>
  </si>
  <si>
    <t xml:space="preserve">La scheda contiene solo dati oggettivi della pratica. Viene letta da Claude (Project «Valutazione Pratiche Urbanistiche») che la confronta con la sintesi normativa e prepara il parere di fattibilità. Una scheda = una pratica = una chat.</t>
  </si>
  <si>
    <t xml:space="preserve">Come compilare (pochi minuti)</t>
  </si>
  <si>
    <t xml:space="preserve">1. Compilare il foglio «Scheda», colonna D «Valore da compilare». Dove c'è la freccia del menu a tendina, scegliere un valore dall'elenco; non digitare altro.</t>
  </si>
  <si>
    <t xml:space="preserve">2. Cominciare dal blocco A (codice pratica, tipo di procedimento, qualificazione). Dal tipo di procedimento e dalla qualificazione dipende quali campi sono richiesti.</t>
  </si>
  <si>
    <t xml:space="preserve">3. Rispondere agli 8 interruttori «Sezione … pertinente?» (blocchi H, I, K, L, M, N, S, P): «No» salta l'intera sezione (le righe diventano grigie); «Sì» richiede i suoi campi.</t>
  </si>
  <si>
    <t xml:space="preserve">4. La colonna «Obbligatorio per» dice per quali procedimenti il campo serve. Le sigle tra parentesi quadre: [parametri] = intervento che incide su volumi, sagoma, superfici; [uso/carico] = può cambiare destinazione d'uso o carico insediativo; [dem.-ric.] = demolizione e ricostruzione; [tetto] = intervento «tetto». Le qualificazioni con questi flag sono nel foglio «Elenchi».</t>
  </si>
  <si>
    <t xml:space="preserve">5. Le celle rosse sono dati obbligatori mancanti; le gialle sono dati dichiarati «non noti». In alto alla scheda c'è il conteggio. Il foglio «Controlli» elenca i campi e le segnalazioni automatiche.</t>
  </si>
  <si>
    <t xml:space="preserve">6. Le celle grigio-azzurre (corsivo) sono precompilate o calcolate: non modificarle. I dati noti per Ottaviano (zona sismica 2, zona rossa, vincolo paesaggistico su tutto il territorio, PSAI 2015, delibera oneri n. 17/2025) stanno nel blocco Z.</t>
  </si>
  <si>
    <t xml:space="preserve">7. Zona omogenea A-F: il campo B03 mostra il default calcolato dall'ambito (assimilazione, sez. 35.0). Se si conosce la zona, indicarla nel campo successivo: prevale sul default.</t>
  </si>
  <si>
    <t xml:space="preserve">8. Salvare il file con il codice pratica nel nome (es. «scheda_PR-2026-001.xlsx») e caricarlo nella chat della pratica. Se si usano LibreOffice o Excel, salvare in formato .xlsx dopo il ricalcolo, così i valori delle formule restano leggibili.</t>
  </si>
  <si>
    <t xml:space="preserve">Cosa NON inserire (mai)</t>
  </si>
  <si>
    <t xml:space="preserve">• Nomi, cognomi, codici fiscali, partite IVA, telefoni, e-mail, firme.</t>
  </si>
  <si>
    <t xml:space="preserve">• Indirizzi, numeri civici, estremi catastali identificativi (foglio, particella, subalterno), numeri di protocollo o di titolo riconducibili alla persona.</t>
  </si>
  <si>
    <t xml:space="preserve">• Per i titoli passati indicare solo tipo e data (o anno). Il codice pratica è scelto dall'ufficio e non deve rivelare chi ha presentato la pratica.</t>
  </si>
  <si>
    <t xml:space="preserve">Dato mancante</t>
  </si>
  <si>
    <t xml:space="preserve">Lasciare vuoto oppure scrivere «non noto» (nei menu c'è la voce «Non noto»). Non supporre e non stimare: il parere elenca i dati mancanti e non li inventa. Lo stato legittimo non accertato si indica con «Da acquisire d'ufficio».</t>
  </si>
  <si>
    <t xml:space="preserve">Codici e stabilità</t>
  </si>
  <si>
    <t xml:space="preserve">I codici dei campi (colonna A: A01, B03, E14 …) e le etichette sono stabili: non cambiarli, non inserire o eliminare righe, non spostare colonne. Elenco completo con riferimenti alla sintesi normativa: docs/scheda-campi.md.</t>
  </si>
  <si>
    <t xml:space="preserve">Fogli del file</t>
  </si>
  <si>
    <t xml:space="preserve">Istruzioni (questo foglio) · Scheda (da compilare) · Controlli (dati mancanti e segnalazioni) · Elenchi (valori dei menu: procedimenti, qualificazioni, ambiti PUC con zona A-F di default, rischi, ecc.).</t>
  </si>
  <si>
    <t xml:space="preserve">Limiti di questa versione</t>
  </si>
  <si>
    <t xml:space="preserve">La scheda non calcola il parere né il contributo di costruzione: raccoglie i dati. Le assimilazioni (ambito → zona A-F) sono default modificabili. I limiti normativi sono quelli della sintesi normativa v2.8.</t>
  </si>
  <si>
    <t xml:space="preserve">ESEMPIO FITTIZIO: dati inventati, solo per collaudo. Nessun riferimento a pratiche o persone reali.</t>
  </si>
  <si>
    <t xml:space="preserve">Esempio 1 – SCIA cambio d'uso senza opere – valutazione pratiche urbanistiche (v1)</t>
  </si>
  <si>
    <t xml:space="preserve">Istruttoria di supporto: decisione e firma restano al responsabile del procedimento. Nessun dato personale.</t>
  </si>
  <si>
    <t xml:space="preserve">Codice</t>
  </si>
  <si>
    <t xml:space="preserve">Sezione</t>
  </si>
  <si>
    <t xml:space="preserve">Campo</t>
  </si>
  <si>
    <t xml:space="preserve">Valore da compilare</t>
  </si>
  <si>
    <t xml:space="preserve">Unità</t>
  </si>
  <si>
    <t xml:space="preserve">Obbligatorio per</t>
  </si>
  <si>
    <t xml:space="preserve">Nota (riferimento alla sintesi normativa)</t>
  </si>
  <si>
    <t xml:space="preserve">Stato</t>
  </si>
  <si>
    <t xml:space="preserve">Z – Dati noti per Ottaviano (precompilati, non modificare)</t>
  </si>
  <si>
    <t xml:space="preserve">Costanti del Comune: non vanno compilate.</t>
  </si>
  <si>
    <t xml:space="preserve">Z01</t>
  </si>
  <si>
    <t xml:space="preserve">Dati noti per Ottaviano</t>
  </si>
  <si>
    <t xml:space="preserve">Zona sismica</t>
  </si>
  <si>
    <t xml:space="preserve">2</t>
  </si>
  <si>
    <t xml:space="preserve">—</t>
  </si>
  <si>
    <t xml:space="preserve">Sez. 14.7, 24 (conferma dell'utente)</t>
  </si>
  <si>
    <t xml:space="preserve">Z02</t>
  </si>
  <si>
    <t xml:space="preserve">Zona rossa vesuviana (LR 21/2003)</t>
  </si>
  <si>
    <t xml:space="preserve">Sì – Ottaviano compreso</t>
  </si>
  <si>
    <t xml:space="preserve">Sez. 17; la LR 21/2003 resta in vigore (PPR non in vigore: sez. 8 n. 28)</t>
  </si>
  <si>
    <t xml:space="preserve">Z03</t>
  </si>
  <si>
    <t xml:space="preserve">Vincolo paesaggistico</t>
  </si>
  <si>
    <t xml:space="preserve">Intero territorio (art. 134 lett. b/c; art. 142 lett. f, l D.Lgs 42/04; D.M. 02/09/1961)</t>
  </si>
  <si>
    <t xml:space="preserve">Sez. 13, 37.1</t>
  </si>
  <si>
    <t xml:space="preserve">Z04</t>
  </si>
  <si>
    <t xml:space="preserve">PSAI vigente</t>
  </si>
  <si>
    <t xml:space="preserve">Versione 2015 (Delib. C.I. n. 1 del 23/02/2015): si valuta il solo rischio</t>
  </si>
  <si>
    <t xml:space="preserve">Sez. 5, 5 bis; CLAUDE.md sez. 4</t>
  </si>
  <si>
    <t xml:space="preserve">Z05</t>
  </si>
  <si>
    <t xml:space="preserve">Funzioni sismiche</t>
  </si>
  <si>
    <t xml:space="preserve">Commissione sismica comunale attiva</t>
  </si>
  <si>
    <t xml:space="preserve">Sez. 36; sez. 8 n. 28</t>
  </si>
  <si>
    <t xml:space="preserve">Z06</t>
  </si>
  <si>
    <t xml:space="preserve">Delibera oneri e K2</t>
  </si>
  <si>
    <t xml:space="preserve">Delibera n. 17 del 15/12/2025; K2 = 0,59</t>
  </si>
  <si>
    <t xml:space="preserve">Sez. 29, 8 n. 22 e 27</t>
  </si>
  <si>
    <t xml:space="preserve">Z07</t>
  </si>
  <si>
    <t xml:space="preserve">Prevalenza NTA / RUEC</t>
  </si>
  <si>
    <t xml:space="preserve">Tra NTA e RUEC prevalgono le NTA</t>
  </si>
  <si>
    <t xml:space="preserve">CLAUDE.md sez. 2 punto 4; sez. 8 n. 1 e 27</t>
  </si>
  <si>
    <t xml:space="preserve">A – Procedimento</t>
  </si>
  <si>
    <t xml:space="preserve">Sempre da compilare.</t>
  </si>
  <si>
    <t xml:space="preserve">A01</t>
  </si>
  <si>
    <t xml:space="preserve">Procedimento</t>
  </si>
  <si>
    <t xml:space="preserve">Codice pratica anonimo (scelto dall'ufficio, senza nomi né numeri di protocollo identificativi)</t>
  </si>
  <si>
    <t xml:space="preserve">ESEMPIO-FITTIZIO-01</t>
  </si>
  <si>
    <t xml:space="preserve">Tutti</t>
  </si>
  <si>
    <t xml:space="preserve">Sez. 10 A</t>
  </si>
  <si>
    <t xml:space="preserve">A02</t>
  </si>
  <si>
    <t xml:space="preserve">Tipo di procedimento</t>
  </si>
  <si>
    <t xml:space="preserve">SCIA</t>
  </si>
  <si>
    <t xml:space="preserve">Sez. 10 A1; 7, 12, 14, 32</t>
  </si>
  <si>
    <t xml:space="preserve">A03</t>
  </si>
  <si>
    <t xml:space="preserve">Qualificazione dell'intervento (DPR 380/2001)</t>
  </si>
  <si>
    <t xml:space="preserve">Cambio d'uso senza opere</t>
  </si>
  <si>
    <t xml:space="preserve">Ordinari; Accertamento</t>
  </si>
  <si>
    <t xml:space="preserve">Sez. 10 A2; 14.1, 28.3, 32. Per i condoni vale la tipologia di illecito (sez. H)</t>
  </si>
  <si>
    <t xml:space="preserve">A04</t>
  </si>
  <si>
    <t xml:space="preserve">Descrizione sintetica delle opere (solo dati tecnici, nessun dato personale)</t>
  </si>
  <si>
    <t xml:space="preserve">ESEMPIO FITTIZIO: cambio di destinazione d'uso senza opere di un'unità di 85 mq al piano terra, da ufficio (terziario) a negozio (commerciale).</t>
  </si>
  <si>
    <t xml:space="preserve">Ordinari; Condoni; Accertamento</t>
  </si>
  <si>
    <t xml:space="preserve">Sez. 10 A3</t>
  </si>
  <si>
    <t xml:space="preserve">A05</t>
  </si>
  <si>
    <t xml:space="preserve">Data di presentazione della domanda / del titolo</t>
  </si>
  <si>
    <t xml:space="preserve">Sez. 10 A4; 14.2; per la SCIA/CILA decorrenza della delibera oneri (29.1)</t>
  </si>
  <si>
    <t xml:space="preserve">A06</t>
  </si>
  <si>
    <t xml:space="preserve">Data di rilascio del PdC (solo PdC; decorrenza della delibera oneri)</t>
  </si>
  <si>
    <t xml:space="preserve">Ordinari – solo se PdC</t>
  </si>
  <si>
    <t xml:space="preserve">Sez. 10 A4; 29.1</t>
  </si>
  <si>
    <t xml:space="preserve">B – Localizzazione urbanistica e vincoli</t>
  </si>
  <si>
    <t xml:space="preserve">Tutto il territorio è vincolato paesaggisticamente (costante Z03): qui solo ciò che varia da pratica a pratica.</t>
  </si>
  <si>
    <t xml:space="preserve">B01</t>
  </si>
  <si>
    <t xml:space="preserve">Localizzazione urbanistica e vincoli</t>
  </si>
  <si>
    <t xml:space="preserve">Ambito PUC (articolo NTA)</t>
  </si>
  <si>
    <t xml:space="preserve">Art. 15 – Urbani consolidati</t>
  </si>
  <si>
    <t xml:space="preserve">Sez. 3, 28, 35.0</t>
  </si>
  <si>
    <t xml:space="preserve">B02</t>
  </si>
  <si>
    <t xml:space="preserve">Zona omogenea A-F di default (calcolata dall'ambito)</t>
  </si>
  <si>
    <t xml:space="preserve">Sez. 35.0 (assimilazione, non norma). Cella calcolata: non compilare</t>
  </si>
  <si>
    <t xml:space="preserve">B03</t>
  </si>
  <si>
    <t xml:space="preserve">Zona omogenea A-F, se nota (prevale sul default dell'ambito)</t>
  </si>
  <si>
    <t xml:space="preserve">Facoltativo</t>
  </si>
  <si>
    <t xml:space="preserve">Sez. 35.0 e 35.6: la zona della scheda prevale</t>
  </si>
  <si>
    <t xml:space="preserve">B04</t>
  </si>
  <si>
    <t xml:space="preserve">Zona omogenea applicata (calcolata)</t>
  </si>
  <si>
    <t xml:space="preserve">Cella calcolata: zona della scheda, altrimenti default dell'ambito. Se vuota e serve il K3, il parere la elenca come dato mancante</t>
  </si>
  <si>
    <t xml:space="preserve">B05</t>
  </si>
  <si>
    <t xml:space="preserve">Zona PTP</t>
  </si>
  <si>
    <t xml:space="preserve">Fuori perimetro PTP</t>
  </si>
  <si>
    <t xml:space="preserve">Sez. 4; NTA art. 3 c. 2-3</t>
  </si>
  <si>
    <t xml:space="preserve">B06</t>
  </si>
  <si>
    <t xml:space="preserve">Rapporto con il Parco Nazionale del Vesuvio</t>
  </si>
  <si>
    <t xml:space="preserve">Fuori</t>
  </si>
  <si>
    <t xml:space="preserve">Sez. 4, 32.2 (nulla osta Ente Parco)</t>
  </si>
  <si>
    <t xml:space="preserve">B07</t>
  </si>
  <si>
    <t xml:space="preserve">Interessa SIC/ZPS</t>
  </si>
  <si>
    <t xml:space="preserve">No</t>
  </si>
  <si>
    <t xml:space="preserve">Sez. 4</t>
  </si>
  <si>
    <t xml:space="preserve">B08</t>
  </si>
  <si>
    <t xml:space="preserve">Area boscata</t>
  </si>
  <si>
    <t xml:space="preserve">B09</t>
  </si>
  <si>
    <t xml:space="preserve">Area archeologica</t>
  </si>
  <si>
    <t xml:space="preserve">B10</t>
  </si>
  <si>
    <t xml:space="preserve">Immobile bene culturale (art. 10 D.Lgs 42/04) o soggetto a tutela indiretta (artt. 45-47)</t>
  </si>
  <si>
    <t xml:space="preserve">Sez. 10 B7 e B10; 13.5, 13.8</t>
  </si>
  <si>
    <t xml:space="preserve">B11</t>
  </si>
  <si>
    <t xml:space="preserve">Fascia di rispetto interessata</t>
  </si>
  <si>
    <t xml:space="preserve">Ordinari [parametri]; Condoni; Accertamento [parametri]</t>
  </si>
  <si>
    <t xml:space="preserve">Sez. 4; 8 n. 2 (fasce stradali). Se più di una, indicarle nella descrizione</t>
  </si>
  <si>
    <t xml:space="preserve">B12</t>
  </si>
  <si>
    <t xml:space="preserve">Distanza dalla fascia / dall'elemento vincolante</t>
  </si>
  <si>
    <t xml:space="preserve">m</t>
  </si>
  <si>
    <t xml:space="preserve">Ordinari [parametri]; Accertamento [parametri] – solo se c'è una fascia</t>
  </si>
  <si>
    <t xml:space="preserve">Sez. 10 B8</t>
  </si>
  <si>
    <t xml:space="preserve">B13</t>
  </si>
  <si>
    <t xml:space="preserve">Vincolo paesaggistico rafforzato (provvedimento specifico oltre al vincolo generale)</t>
  </si>
  <si>
    <t xml:space="preserve">Sez. 13.8</t>
  </si>
  <si>
    <t xml:space="preserve">B14</t>
  </si>
  <si>
    <t xml:space="preserve">Data di istituzione del vincolo paesaggistico applicabile all'immobile</t>
  </si>
  <si>
    <t xml:space="preserve">Condoni; Accertamento</t>
  </si>
  <si>
    <t xml:space="preserve">OBBLIGATORIO: CLAUDE.md sez. 4; sez. 12.3, 12.9. Va confrontata con la data delle opere (Controlli)</t>
  </si>
  <si>
    <t xml:space="preserve">B15</t>
  </si>
  <si>
    <t xml:space="preserve">Data di istituzione del vincolo del Parco (o «non applicabile» se fuori Parco)</t>
  </si>
  <si>
    <t xml:space="preserve">OBBLIGATORIO: sez. 10 B11</t>
  </si>
  <si>
    <t xml:space="preserve">B16</t>
  </si>
  <si>
    <t xml:space="preserve">Data di istituzione di altri vincoli presenti (idrogeologico, archeologico, ecc.; o «non applicabile»)</t>
  </si>
  <si>
    <t xml:space="preserve">B17</t>
  </si>
  <si>
    <t xml:space="preserve">Allegato A o B del DPR 31/2017 applicabile</t>
  </si>
  <si>
    <t xml:space="preserve">Nessuna voce</t>
  </si>
  <si>
    <t xml:space="preserve">Sez. 13.6, 13.8</t>
  </si>
  <si>
    <t xml:space="preserve">B18</t>
  </si>
  <si>
    <t xml:space="preserve">Voce dell'Allegato (es. B.16)</t>
  </si>
  <si>
    <t xml:space="preserve">Ordinari; Accertamento – solo se Allegato A o B</t>
  </si>
  <si>
    <t xml:space="preserve">Sez. 13.6</t>
  </si>
  <si>
    <t xml:space="preserve">C – Rischi (PSAI, vulcanico, sismico)</t>
  </si>
  <si>
    <t xml:space="preserve">Per il PSAI si indica solo la classe di RISCHIO (la pericolosità non si considera).</t>
  </si>
  <si>
    <t xml:space="preserve">C01</t>
  </si>
  <si>
    <t xml:space="preserve">Rischi</t>
  </si>
  <si>
    <t xml:space="preserve">Rischio idraulico (PSAI)</t>
  </si>
  <si>
    <t xml:space="preserve">Nessuno</t>
  </si>
  <si>
    <t xml:space="preserve">Sez. 5, 5 bis; 10 C13</t>
  </si>
  <si>
    <t xml:space="preserve">C02</t>
  </si>
  <si>
    <t xml:space="preserve">Rischio frana (PSAI)</t>
  </si>
  <si>
    <t xml:space="preserve">Sez. 5; 10 C14 (R3/R4 anche per art. 33 quater LR 16/2004)</t>
  </si>
  <si>
    <t xml:space="preserve">C03</t>
  </si>
  <si>
    <t xml:space="preserve">Edificio in area a rischio</t>
  </si>
  <si>
    <t xml:space="preserve">Ordinari; Condoni; Accertamento – solo se c'è un rischio</t>
  </si>
  <si>
    <t xml:space="preserve">Sez. 10 C15</t>
  </si>
  <si>
    <t xml:space="preserve">C04</t>
  </si>
  <si>
    <t xml:space="preserve">Presenza di cavità o sinkholes</t>
  </si>
  <si>
    <t xml:space="preserve">Ordinari [parametri]; Accertamento [parametri]</t>
  </si>
  <si>
    <t xml:space="preserve">Sez. 10 C16</t>
  </si>
  <si>
    <t xml:space="preserve">C05</t>
  </si>
  <si>
    <t xml:space="preserve">Distanza da alvei/argini</t>
  </si>
  <si>
    <t xml:space="preserve">C06</t>
  </si>
  <si>
    <t xml:space="preserve">Rischio vulcanico/sismico segnalato dalle carte del PUC (P4.1, P4.3)</t>
  </si>
  <si>
    <t xml:space="preserve">Sez. 10 C17; NTA art. 16 c. 2</t>
  </si>
  <si>
    <t xml:space="preserve">C07</t>
  </si>
  <si>
    <t xml:space="preserve">Lavori su parti strutturali</t>
  </si>
  <si>
    <t xml:space="preserve">Sez. 14.7, 24</t>
  </si>
  <si>
    <t xml:space="preserve">C08</t>
  </si>
  <si>
    <t xml:space="preserve">Categoria dell'intervento ai fini sismici</t>
  </si>
  <si>
    <t xml:space="preserve">Ordinari; Accertamento – solo se lavori strutturali</t>
  </si>
  <si>
    <t xml:space="preserve">Sez. 24</t>
  </si>
  <si>
    <t xml:space="preserve">D – Stato legittimo e difformità</t>
  </si>
  <si>
    <t xml:space="preserve">D01</t>
  </si>
  <si>
    <t xml:space="preserve">Stato legittimo e difformità</t>
  </si>
  <si>
    <t xml:space="preserve">Titolo originario dell'edificio</t>
  </si>
  <si>
    <t xml:space="preserve">Permesso di costruire / licenza / concessione</t>
  </si>
  <si>
    <t xml:space="preserve">Ordinari; Agibilità; Accertamento</t>
  </si>
  <si>
    <t xml:space="preserve">Sez. 10 D19; 14.8</t>
  </si>
  <si>
    <t xml:space="preserve">D02</t>
  </si>
  <si>
    <t xml:space="preserve">Data del titolo originario (nessun numero di protocollo)</t>
  </si>
  <si>
    <t xml:space="preserve">Ordinari; Agibilità; Accertamento – solo se esiste un titolo</t>
  </si>
  <si>
    <t xml:space="preserve">Sez. 10 D19</t>
  </si>
  <si>
    <t xml:space="preserve">D03</t>
  </si>
  <si>
    <t xml:space="preserve">Epoca di costruzione</t>
  </si>
  <si>
    <t xml:space="preserve">Dopo il 1955</t>
  </si>
  <si>
    <t xml:space="preserve">Sez. 3 (art. 15 c. 8: ante 1945/1955), 14.8</t>
  </si>
  <si>
    <t xml:space="preserve">D04</t>
  </si>
  <si>
    <t xml:space="preserve">Edificio già oggetto di condono rilasciato</t>
  </si>
  <si>
    <t xml:space="preserve">Sez. 10 D19; 12</t>
  </si>
  <si>
    <t xml:space="preserve">D05</t>
  </si>
  <si>
    <t xml:space="preserve">Stato legittimo</t>
  </si>
  <si>
    <t xml:space="preserve">Accertato</t>
  </si>
  <si>
    <t xml:space="preserve">Sez. 14.8, 26 (LR 31/2021 art. 27 c. 4: «da acquisire d'ufficio»)</t>
  </si>
  <si>
    <t xml:space="preserve">D06</t>
  </si>
  <si>
    <t xml:space="preserve">Difformità presenti rispetto allo stato legittimo</t>
  </si>
  <si>
    <t xml:space="preserve">Sez. 10 D20; 14.4</t>
  </si>
  <si>
    <t xml:space="preserve">D07</t>
  </si>
  <si>
    <t xml:space="preserve">Qualificazione proposta della difformità</t>
  </si>
  <si>
    <t xml:space="preserve">Tutti – solo se ci sono difformità</t>
  </si>
  <si>
    <t xml:space="preserve">Sez. 14.4</t>
  </si>
  <si>
    <t xml:space="preserve">D08</t>
  </si>
  <si>
    <t xml:space="preserve">Data di realizzazione dell'abuso / delle opere difformi</t>
  </si>
  <si>
    <t xml:space="preserve">Sez. 10 D21; 12.1, 14.5</t>
  </si>
  <si>
    <t xml:space="preserve">D09</t>
  </si>
  <si>
    <t xml:space="preserve">Data di ultimazione delle opere</t>
  </si>
  <si>
    <t xml:space="preserve">Condoni; Agibilità; Accertamento</t>
  </si>
  <si>
    <t xml:space="preserve">Sez. 10 D21; 12.1, 14.3</t>
  </si>
  <si>
    <t xml:space="preserve">D10</t>
  </si>
  <si>
    <t xml:space="preserve">Documentazione che prova la data</t>
  </si>
  <si>
    <t xml:space="preserve">Sez. 14.8; 12.5</t>
  </si>
  <si>
    <t xml:space="preserve">D11</t>
  </si>
  <si>
    <t xml:space="preserve">Superficie utile assentita dell'unità</t>
  </si>
  <si>
    <t xml:space="preserve">mq</t>
  </si>
  <si>
    <t xml:space="preserve">Accertamento – solo se ci sono difformità</t>
  </si>
  <si>
    <t xml:space="preserve">Tolleranze art. 34-bis: sez. 14.5</t>
  </si>
  <si>
    <t xml:space="preserve">D12</t>
  </si>
  <si>
    <t xml:space="preserve">Volume assentito</t>
  </si>
  <si>
    <t xml:space="preserve">mc</t>
  </si>
  <si>
    <t xml:space="preserve">Sez. 14.5, 14.8</t>
  </si>
  <si>
    <t xml:space="preserve">D13</t>
  </si>
  <si>
    <t xml:space="preserve">Volume realizzato</t>
  </si>
  <si>
    <t xml:space="preserve">D14</t>
  </si>
  <si>
    <t xml:space="preserve">Superficie coperta assentita</t>
  </si>
  <si>
    <t xml:space="preserve">Sez. 14.5</t>
  </si>
  <si>
    <t xml:space="preserve">D15</t>
  </si>
  <si>
    <t xml:space="preserve">Superficie coperta realizzata</t>
  </si>
  <si>
    <t xml:space="preserve">D16</t>
  </si>
  <si>
    <t xml:space="preserve">Altezza assentita</t>
  </si>
  <si>
    <t xml:space="preserve">D17</t>
  </si>
  <si>
    <t xml:space="preserve">Altezza realizzata</t>
  </si>
  <si>
    <t xml:space="preserve">D18</t>
  </si>
  <si>
    <t xml:space="preserve">Distacco minimo assentito</t>
  </si>
  <si>
    <t xml:space="preserve">D19</t>
  </si>
  <si>
    <t xml:space="preserve">Distacco minimo realizzato</t>
  </si>
  <si>
    <t xml:space="preserve">D20</t>
  </si>
  <si>
    <t xml:space="preserve">Titoli o domande sulla stessa unità negli ultimi 5 anni (elenco: tipo e anno, senza estremi)</t>
  </si>
  <si>
    <t xml:space="preserve">Ordinari [parametri]</t>
  </si>
  <si>
    <t xml:space="preserve">Allegato 1 NTA art. 8 c. 2: sez. 28</t>
  </si>
  <si>
    <t xml:space="preserve">D21</t>
  </si>
  <si>
    <t xml:space="preserve">Uso agricolo del fondo documentato</t>
  </si>
  <si>
    <t xml:space="preserve">Ordinari; Condoni; Accertamento – solo in ambiti agricoli (artt. 7-12)</t>
  </si>
  <si>
    <t xml:space="preserve">NTA artt. 7-11: sez. 3</t>
  </si>
  <si>
    <t xml:space="preserve">D22</t>
  </si>
  <si>
    <t xml:space="preserve">Piano di sviluppo aziendale presentato (campo aggiunto)</t>
  </si>
  <si>
    <t xml:space="preserve">Ordinari – solo nuova costruzione in ambito agricolo</t>
  </si>
  <si>
    <t xml:space="preserve">Campo aggiunto rispetto alla sez. 10: NTA artt. 8, 9, 11 (sez. 3)</t>
  </si>
  <si>
    <t xml:space="preserve">E – Parametri edilizi (stato di fatto → progetto)</t>
  </si>
  <si>
    <t xml:space="preserve">Compilare solo per gli interventi che cambiano volumi, superfici, usi o carico (vedi colonna «Obbligatorio per»).</t>
  </si>
  <si>
    <t xml:space="preserve">E01</t>
  </si>
  <si>
    <t xml:space="preserve">Parametri edilizi</t>
  </si>
  <si>
    <t xml:space="preserve">Superficie fondiaria (S.F.)</t>
  </si>
  <si>
    <t xml:space="preserve">Allegato 1 NTA: sez. 28</t>
  </si>
  <si>
    <t xml:space="preserve">E02</t>
  </si>
  <si>
    <t xml:space="preserve">Superficie coperta (S.C.) – stato di fatto</t>
  </si>
  <si>
    <t xml:space="preserve">Sez. 28</t>
  </si>
  <si>
    <t xml:space="preserve">E03</t>
  </si>
  <si>
    <t xml:space="preserve">Superficie coperta (S.C.) – progetto</t>
  </si>
  <si>
    <t xml:space="preserve">E04</t>
  </si>
  <si>
    <t xml:space="preserve">Superficie utile (S.U.) – stato di fatto</t>
  </si>
  <si>
    <t xml:space="preserve">E05</t>
  </si>
  <si>
    <t xml:space="preserve">Superficie utile (S.U.) – progetto</t>
  </si>
  <si>
    <t xml:space="preserve">E06</t>
  </si>
  <si>
    <t xml:space="preserve">Volume (V.C.) – stato di fatto</t>
  </si>
  <si>
    <t xml:space="preserve">E07</t>
  </si>
  <si>
    <t xml:space="preserve">Volume (V.C.) – progetto</t>
  </si>
  <si>
    <t xml:space="preserve">E08</t>
  </si>
  <si>
    <t xml:space="preserve">Altezza (H.F./H.M.) – stato di fatto</t>
  </si>
  <si>
    <t xml:space="preserve">E09</t>
  </si>
  <si>
    <t xml:space="preserve">Altezza (H.F./H.M.) – progetto</t>
  </si>
  <si>
    <t xml:space="preserve">E10</t>
  </si>
  <si>
    <t xml:space="preserve">Numero piani (N.P.) – stato di fatto</t>
  </si>
  <si>
    <t xml:space="preserve">n.</t>
  </si>
  <si>
    <t xml:space="preserve">E11</t>
  </si>
  <si>
    <t xml:space="preserve">Numero piani (N.P.) – progetto</t>
  </si>
  <si>
    <t xml:space="preserve">E12</t>
  </si>
  <si>
    <t xml:space="preserve">Unità immobiliari – stato di fatto</t>
  </si>
  <si>
    <t xml:space="preserve">Ordinari [uso/carico]; Accertamento [uso/carico]</t>
  </si>
  <si>
    <t xml:space="preserve">Sez. 10 E25</t>
  </si>
  <si>
    <t xml:space="preserve">E13</t>
  </si>
  <si>
    <t xml:space="preserve">Unità immobiliari – progetto</t>
  </si>
  <si>
    <t xml:space="preserve">E14</t>
  </si>
  <si>
    <t xml:space="preserve">Volumetria originaria</t>
  </si>
  <si>
    <t xml:space="preserve">Sez. 10 E26; 13.8; 12 (ampliamenti %)</t>
  </si>
  <si>
    <t xml:space="preserve">E15</t>
  </si>
  <si>
    <t xml:space="preserve">Incremento proposto / eseguito</t>
  </si>
  <si>
    <t xml:space="preserve">Sez. 10 E26</t>
  </si>
  <si>
    <t xml:space="preserve">E16</t>
  </si>
  <si>
    <t xml:space="preserve">Incremento sulla volumetria originaria (calcolato)</t>
  </si>
  <si>
    <t xml:space="preserve">%</t>
  </si>
  <si>
    <t xml:space="preserve">Cella calcolata: non compilare</t>
  </si>
  <si>
    <t xml:space="preserve">E17</t>
  </si>
  <si>
    <t xml:space="preserve">Incrementi già eseguiti negli ultimi 5 anni</t>
  </si>
  <si>
    <t xml:space="preserve">Sez. 13.8; Allegato 1 NTA</t>
  </si>
  <si>
    <t xml:space="preserve">E18</t>
  </si>
  <si>
    <t xml:space="preserve">Aumento di carico insediativo</t>
  </si>
  <si>
    <t xml:space="preserve">Sez. 10 E27; 17.1 (zona rossa), 5 (PSAI)</t>
  </si>
  <si>
    <t xml:space="preserve">E19</t>
  </si>
  <si>
    <t xml:space="preserve">Entità dell'aumento (abitanti/addetti/utenti)</t>
  </si>
  <si>
    <t xml:space="preserve">Ordinari [uso/carico]; Accertamento [uso/carico] – solo se aumenta il carico</t>
  </si>
  <si>
    <t xml:space="preserve">Sez. 10 E27</t>
  </si>
  <si>
    <t xml:space="preserve">E20</t>
  </si>
  <si>
    <t xml:space="preserve">Aumento di volumi abitabili o del numero di unità abitative</t>
  </si>
  <si>
    <t xml:space="preserve">Sez. 17.1 (divieto in zona rossa)</t>
  </si>
  <si>
    <t xml:space="preserve">E21</t>
  </si>
  <si>
    <t xml:space="preserve">Interrati o seminterrati</t>
  </si>
  <si>
    <t xml:space="preserve">Sez. 10 E28; 5 bis (Allegato A3)</t>
  </si>
  <si>
    <t xml:space="preserve">E22</t>
  </si>
  <si>
    <t xml:space="preserve">Altezza netta dell'interrato/seminterrato</t>
  </si>
  <si>
    <t xml:space="preserve">Ordinari [parametri]; Accertamento [parametri] – solo se ci sono interrati</t>
  </si>
  <si>
    <t xml:space="preserve">Sez. 10 E28</t>
  </si>
  <si>
    <t xml:space="preserve">E23</t>
  </si>
  <si>
    <t xml:space="preserve">Quota dell'interrato rispetto al piano campagna</t>
  </si>
  <si>
    <t xml:space="preserve">E24</t>
  </si>
  <si>
    <t xml:space="preserve">Quota del primo solaio rispetto al piano campagna</t>
  </si>
  <si>
    <t xml:space="preserve">Sez. 5 bis (Allegato A3 §3)</t>
  </si>
  <si>
    <t xml:space="preserve">E25</t>
  </si>
  <si>
    <t xml:space="preserve">Distanza minima dai confini</t>
  </si>
  <si>
    <t xml:space="preserve">Sez. 28.2; 6</t>
  </si>
  <si>
    <t xml:space="preserve">E26</t>
  </si>
  <si>
    <t xml:space="preserve">Distanza minima da edifici</t>
  </si>
  <si>
    <t xml:space="preserve">E27</t>
  </si>
  <si>
    <t xml:space="preserve">Distanza minima dalle strade</t>
  </si>
  <si>
    <t xml:space="preserve">Sez. 28.2; 6; 8 n. 2</t>
  </si>
  <si>
    <t xml:space="preserve">E28</t>
  </si>
  <si>
    <t xml:space="preserve">Pareti finestrate nel fronte verso edifici/confine</t>
  </si>
  <si>
    <t xml:space="preserve">Sez. 28.2 (Allegato art. 5)</t>
  </si>
  <si>
    <t xml:space="preserve">E29</t>
  </si>
  <si>
    <t xml:space="preserve">Larghezza delle parti non finestrate</t>
  </si>
  <si>
    <t xml:space="preserve">Ordinari [parametri]; Accertamento [parametri] – solo se le pareti non sono finestrate</t>
  </si>
  <si>
    <t xml:space="preserve">Allegato 1 NTA art. 5 (limite di 3,00 m): sez. 28.4 n. 4</t>
  </si>
  <si>
    <t xml:space="preserve">E30</t>
  </si>
  <si>
    <t xml:space="preserve">Altezza delle parti non finestrate</t>
  </si>
  <si>
    <t xml:space="preserve">Allegato 1 NTA art. 5: sez. 28.4 n. 4</t>
  </si>
  <si>
    <t xml:space="preserve">E31</t>
  </si>
  <si>
    <t xml:space="preserve">Accordo con il confinante o parete cieca in confine</t>
  </si>
  <si>
    <t xml:space="preserve">Sez. 28.2</t>
  </si>
  <si>
    <t xml:space="preserve">E32</t>
  </si>
  <si>
    <t xml:space="preserve">Superficie non edificata del lotto</t>
  </si>
  <si>
    <t xml:space="preserve">Allegato 1 NTA art. 17 (40%): sez. 8 n. 27 (NTA &gt; RUEC)</t>
  </si>
  <si>
    <t xml:space="preserve">E33</t>
  </si>
  <si>
    <t xml:space="preserve">Superficie già impermeabilizzata – stato di fatto</t>
  </si>
  <si>
    <t xml:space="preserve">Sez. 28.2, 6</t>
  </si>
  <si>
    <t xml:space="preserve">E34</t>
  </si>
  <si>
    <t xml:space="preserve">Superficie impermeabilizzata – progetto</t>
  </si>
  <si>
    <t xml:space="preserve">E35</t>
  </si>
  <si>
    <t xml:space="preserve">Posti auto pertinenziali previsti</t>
  </si>
  <si>
    <t xml:space="preserve">NTA art. 29 bis c. 5 (1 posto per unità; RUEC art. 36 c. 4 = 2: prevalgono le NTA): sez. 8 n. 1</t>
  </si>
  <si>
    <t xml:space="preserve">E36</t>
  </si>
  <si>
    <t xml:space="preserve">Ubicazione dei posti auto</t>
  </si>
  <si>
    <t xml:space="preserve">Nel lotto (in superficie)</t>
  </si>
  <si>
    <t xml:space="preserve">Sez. 17.1; 6</t>
  </si>
  <si>
    <t xml:space="preserve">E37</t>
  </si>
  <si>
    <t xml:space="preserve">Distanza dei posti auto dall'unità</t>
  </si>
  <si>
    <t xml:space="preserve">Ordinari [uso/carico]; Accertamento [uso/carico] – solo se fuori lotto</t>
  </si>
  <si>
    <t xml:space="preserve">Sez. 17.1</t>
  </si>
  <si>
    <t xml:space="preserve">E38</t>
  </si>
  <si>
    <t xml:space="preserve">Vincolo pertinenziale dei posti auto</t>
  </si>
  <si>
    <t xml:space="preserve">Sì</t>
  </si>
  <si>
    <t xml:space="preserve">Ordinari [uso/carico]; Accertamento [uso/carico] – solo se i posti auto sono previsti</t>
  </si>
  <si>
    <t xml:space="preserve">E39</t>
  </si>
  <si>
    <t xml:space="preserve">Destinazione d'uso esistente (classi RUEC)</t>
  </si>
  <si>
    <t xml:space="preserve">C – Terziario</t>
  </si>
  <si>
    <t xml:space="preserve">Sez. 6 (classi A-H); 14.1 (art. 23-ter)</t>
  </si>
  <si>
    <t xml:space="preserve">E40</t>
  </si>
  <si>
    <t xml:space="preserve">Destinazione d'uso di progetto (classi RUEC)</t>
  </si>
  <si>
    <t xml:space="preserve">D – Commerciale</t>
  </si>
  <si>
    <t xml:space="preserve">Sez. 6; 14.1</t>
  </si>
  <si>
    <t xml:space="preserve">E41</t>
  </si>
  <si>
    <t xml:space="preserve">Mutamento d'uso verso l'abitativo</t>
  </si>
  <si>
    <t xml:space="preserve">Sez. 17.1 (zona rossa: vietato, art. 6 c. 2 LR 21/2003)</t>
  </si>
  <si>
    <t xml:space="preserve">E42</t>
  </si>
  <si>
    <t xml:space="preserve">Superficie di tettoie, autorimesse, volumi tecnici, ricoveri attrezzi</t>
  </si>
  <si>
    <t xml:space="preserve">E43</t>
  </si>
  <si>
    <t xml:space="preserve">Volume di tettoie, autorimesse, volumi tecnici, ricoveri attrezzi</t>
  </si>
  <si>
    <t xml:space="preserve">E44</t>
  </si>
  <si>
    <t xml:space="preserve">Demolizione e ricostruzione: corrispondenza di volume, sagoma e sedime</t>
  </si>
  <si>
    <t xml:space="preserve">Ordinari [dem.-ric.]; Accertamento [dem.-ric.]</t>
  </si>
  <si>
    <t xml:space="preserve">Sez. 13.8; 8 n. 27 (SCIA alternativa al PdC)</t>
  </si>
  <si>
    <t xml:space="preserve">E45</t>
  </si>
  <si>
    <t xml:space="preserve">Intervento «tetto»: incremento di altezza al muro perimetrale</t>
  </si>
  <si>
    <t xml:space="preserve">Ordinari [tetto]; Accertamento [tetto]</t>
  </si>
  <si>
    <t xml:space="preserve">Allegato 1 NTA art. 14: sez. 28</t>
  </si>
  <si>
    <t xml:space="preserve">E46</t>
  </si>
  <si>
    <t xml:space="preserve">Intervento «tetto»: incremento di altezza al colmo</t>
  </si>
  <si>
    <t xml:space="preserve">E47</t>
  </si>
  <si>
    <t xml:space="preserve">Intervento «tetto»: pendenza delle falde</t>
  </si>
  <si>
    <t xml:space="preserve">E48</t>
  </si>
  <si>
    <t xml:space="preserve">Intervento «tetto»: larghezza del corpo di fabbrica</t>
  </si>
  <si>
    <t xml:space="preserve">E49</t>
  </si>
  <si>
    <t xml:space="preserve">Intervento «tetto»: destinazione del volume ottenuto</t>
  </si>
  <si>
    <t xml:space="preserve">F – Pareri e titoli già acquisiti</t>
  </si>
  <si>
    <t xml:space="preserve">F01</t>
  </si>
  <si>
    <t xml:space="preserve">Pareri e titoli già acquisiti</t>
  </si>
  <si>
    <t xml:space="preserve">Autorizzazione paesaggistica acquisita</t>
  </si>
  <si>
    <t xml:space="preserve">Non necessaria</t>
  </si>
  <si>
    <t xml:space="preserve">Ordinari [parametri]; Condoni; Agibilità; Accertamento</t>
  </si>
  <si>
    <t xml:space="preserve">Sez. 13.4, 32.2</t>
  </si>
  <si>
    <t xml:space="preserve">F02</t>
  </si>
  <si>
    <t xml:space="preserve">Scostamenti dal progetto autorizzato</t>
  </si>
  <si>
    <t xml:space="preserve">Agibilità; Accertamento – solo se acquisita</t>
  </si>
  <si>
    <t xml:space="preserve">F03</t>
  </si>
  <si>
    <t xml:space="preserve">Scostamento massimo (su altezza, distacchi, cubatura, superficie coperta, sedime)</t>
  </si>
  <si>
    <t xml:space="preserve">Agibilità; Accertamento – solo se ci sono scostamenti</t>
  </si>
  <si>
    <t xml:space="preserve">F04</t>
  </si>
  <si>
    <t xml:space="preserve">Nulla osta Ente Parco</t>
  </si>
  <si>
    <t xml:space="preserve">Ordinari; Condoni; Accertamento – solo se dentro o contiguo al Parco</t>
  </si>
  <si>
    <t xml:space="preserve">Sez. 32.2; L. 394/1991 art. 13</t>
  </si>
  <si>
    <t xml:space="preserve">F05</t>
  </si>
  <si>
    <t xml:space="preserve">Parere della Soprintendenza</t>
  </si>
  <si>
    <t xml:space="preserve">Ordinari; Condoni; Accertamento – solo se bene culturale</t>
  </si>
  <si>
    <t xml:space="preserve">Sez. 13.5</t>
  </si>
  <si>
    <t xml:space="preserve">F06</t>
  </si>
  <si>
    <t xml:space="preserve">Valutazione di incidenza (SIC/ZPS)</t>
  </si>
  <si>
    <t xml:space="preserve">Ordinari; Condoni; Accertamento – solo se SIC/ZPS</t>
  </si>
  <si>
    <t xml:space="preserve">Sez. 10 F37</t>
  </si>
  <si>
    <t xml:space="preserve">F07</t>
  </si>
  <si>
    <t xml:space="preserve">Autorizzazione sismica / deposito</t>
  </si>
  <si>
    <t xml:space="preserve">Ordinari; Agibilità; Accertamento – solo se lavori strutturali</t>
  </si>
  <si>
    <t xml:space="preserve">Sez. 14.7, 24, 36</t>
  </si>
  <si>
    <t xml:space="preserve">F08</t>
  </si>
  <si>
    <t xml:space="preserve">Autorizzazione sismica rilasciata prima dell'inizio dei lavori</t>
  </si>
  <si>
    <t xml:space="preserve">Ordinari; Agibilità; Accertamento – solo se acquisita</t>
  </si>
  <si>
    <t xml:space="preserve">Art. 94 DPR 380/2001: sez. 14.7</t>
  </si>
  <si>
    <t xml:space="preserve">F09</t>
  </si>
  <si>
    <t xml:space="preserve">Agibilità: finiture ultimate</t>
  </si>
  <si>
    <t xml:space="preserve">Agibilità</t>
  </si>
  <si>
    <t xml:space="preserve">Sez. 14.3 (art. 24)</t>
  </si>
  <si>
    <t xml:space="preserve">F10</t>
  </si>
  <si>
    <t xml:space="preserve">Agibilità: collaudo statico</t>
  </si>
  <si>
    <t xml:space="preserve">Sez. 14.3</t>
  </si>
  <si>
    <t xml:space="preserve">F11</t>
  </si>
  <si>
    <t xml:space="preserve">Agibilità: certificati degli impianti</t>
  </si>
  <si>
    <t xml:space="preserve">F12</t>
  </si>
  <si>
    <t xml:space="preserve">Agibilità: requisiti di accessibilità</t>
  </si>
  <si>
    <t xml:space="preserve">F13</t>
  </si>
  <si>
    <t xml:space="preserve">Agibilità: aggiornamento catastale</t>
  </si>
  <si>
    <t xml:space="preserve">Sez. 14.8</t>
  </si>
  <si>
    <t xml:space="preserve">F14</t>
  </si>
  <si>
    <t xml:space="preserve">Agibilità: ricorso alle deroghe dell'art. 24 c. 5-bis (altezza, mq)</t>
  </si>
  <si>
    <t xml:space="preserve">Sez. 14.3, 14.8</t>
  </si>
  <si>
    <t xml:space="preserve">H – Condoni (L. 47/85, L. 724/94, L. 326/03)</t>
  </si>
  <si>
    <t xml:space="preserve">Compilare solo se il procedimento è una sanatoria straordinaria.</t>
  </si>
  <si>
    <t xml:space="preserve">H00</t>
  </si>
  <si>
    <t xml:space="preserve">Condoni</t>
  </si>
  <si>
    <t xml:space="preserve">Sezione H pertinente? (procedimento di condono)</t>
  </si>
  <si>
    <t xml:space="preserve">Interruttore: «No» = sezione saltata</t>
  </si>
  <si>
    <t xml:space="preserve">H01</t>
  </si>
  <si>
    <t xml:space="preserve">Volume dell'opera abusiva (soglia dei 450 mc per la perizia)</t>
  </si>
  <si>
    <t xml:space="preserve">Sez. 12.1, 30.4, 8 n. 16</t>
  </si>
  <si>
    <t xml:space="preserve">H02</t>
  </si>
  <si>
    <t xml:space="preserve">Ampliamento abusivo</t>
  </si>
  <si>
    <t xml:space="preserve">Sez. 12.1</t>
  </si>
  <si>
    <t xml:space="preserve">H03</t>
  </si>
  <si>
    <t xml:space="preserve">Ampliamento sulla volumetria originaria (calcolato)</t>
  </si>
  <si>
    <t xml:space="preserve">Cella calcolata (usa la volumetria originaria del blocco E)</t>
  </si>
  <si>
    <t xml:space="preserve">H04</t>
  </si>
  <si>
    <t xml:space="preserve">Nuova costruzione residenziale abusiva</t>
  </si>
  <si>
    <t xml:space="preserve">Sez. 12.1; 21.1 (zona rossa)</t>
  </si>
  <si>
    <t xml:space="preserve">H05</t>
  </si>
  <si>
    <t xml:space="preserve">Opere conformi alle norme e agli strumenti urbanistici</t>
  </si>
  <si>
    <t xml:space="preserve">Sez. 12.2 (tipologia 1 o 2); 30.1</t>
  </si>
  <si>
    <t xml:space="preserve">H06</t>
  </si>
  <si>
    <t xml:space="preserve">Domanda presentata nei termini (L. 326/03: sul modello entro il 31/03/2004)</t>
  </si>
  <si>
    <t xml:space="preserve">Sez. 12.5, 30.3</t>
  </si>
  <si>
    <t xml:space="preserve">H07</t>
  </si>
  <si>
    <t xml:space="preserve">Oblazione e oneri versati</t>
  </si>
  <si>
    <t xml:space="preserve">Sez. 12.5, 21.1; oneri anni precedenti: segnalati, non calcolati (8 n. 27)</t>
  </si>
  <si>
    <t xml:space="preserve">H08</t>
  </si>
  <si>
    <t xml:space="preserve">Documentazione fotografica</t>
  </si>
  <si>
    <t xml:space="preserve">Sez. 12.5</t>
  </si>
  <si>
    <t xml:space="preserve">H09</t>
  </si>
  <si>
    <t xml:space="preserve">Perizia giurata e idoneità statica allegate</t>
  </si>
  <si>
    <t xml:space="preserve">Sez. 30.4, 8 n. 16 (450 mc o sempre: segnalare)</t>
  </si>
  <si>
    <t xml:space="preserve">H10</t>
  </si>
  <si>
    <t xml:space="preserve">Parere dell'amministrazione preposta al vincolo</t>
  </si>
  <si>
    <t xml:space="preserve">Sez. 12.4, 12.9</t>
  </si>
  <si>
    <t xml:space="preserve">H11</t>
  </si>
  <si>
    <t xml:space="preserve">Possibilità di adeguamento antisismico</t>
  </si>
  <si>
    <t xml:space="preserve">H12</t>
  </si>
  <si>
    <t xml:space="preserve">Area demaniale o gravata da usi civici</t>
  </si>
  <si>
    <t xml:space="preserve">Sez. 12.3</t>
  </si>
  <si>
    <t xml:space="preserve">H13</t>
  </si>
  <si>
    <t xml:space="preserve">Area boscata o a pascolo percorsa dal fuoco negli ultimi 10 anni</t>
  </si>
  <si>
    <t xml:space="preserve">H14</t>
  </si>
  <si>
    <t xml:space="preserve">L. 326/03: tipologia di illecito (Allegato 1)</t>
  </si>
  <si>
    <t xml:space="preserve">Condoni – solo condono L. 326/03</t>
  </si>
  <si>
    <t xml:space="preserve">Sez. 30.1</t>
  </si>
  <si>
    <t xml:space="preserve">H15</t>
  </si>
  <si>
    <t xml:space="preserve">L. 326/03: lettera dell'art. 3 c. 1 DPR 380 (tipologie 3-6)</t>
  </si>
  <si>
    <t xml:space="preserve">Condoni – solo tipologie 3-6</t>
  </si>
  <si>
    <t xml:space="preserve">H16</t>
  </si>
  <si>
    <t xml:space="preserve">L. 326/03: opere completate al rustico entro il 31/03/2003</t>
  </si>
  <si>
    <t xml:space="preserve">Sez. 21.1 (art. 3 c. 2 lett. b LR 10/2004)</t>
  </si>
  <si>
    <t xml:space="preserve">H17</t>
  </si>
  <si>
    <t xml:space="preserve">L. 326/03: destinazione residenziale delle opere (zona rossa)</t>
  </si>
  <si>
    <t xml:space="preserve">Sez. 21.1 (art. 3 c. 2 lett. d)</t>
  </si>
  <si>
    <t xml:space="preserve">H18</t>
  </si>
  <si>
    <t xml:space="preserve">L. 326/03: versamento del 30% di oblazione e anticipazione oneri (minimi 1.700 € e 500 €)</t>
  </si>
  <si>
    <t xml:space="preserve">Sez. 30.3</t>
  </si>
  <si>
    <t xml:space="preserve">H19</t>
  </si>
  <si>
    <t xml:space="preserve">L. 326/03: rate del 30/06 e 30/09/2004 versate</t>
  </si>
  <si>
    <t xml:space="preserve">H20</t>
  </si>
  <si>
    <t xml:space="preserve">L. 326/03: oneri definitivi versati</t>
  </si>
  <si>
    <t xml:space="preserve">Sez. 30.3 (termine 31/12/2006)</t>
  </si>
  <si>
    <t xml:space="preserve">H21</t>
  </si>
  <si>
    <t xml:space="preserve">L. 326/03: dichiarazione ex art. 4 L. 15/1968 presentata</t>
  </si>
  <si>
    <t xml:space="preserve">H22</t>
  </si>
  <si>
    <t xml:space="preserve">L. 326/03: integrazione del 30/09/2004 (denuncia catastale, ICI, tassa rifiuti, occupazione suolo)</t>
  </si>
  <si>
    <t xml:space="preserve">H23</t>
  </si>
  <si>
    <t xml:space="preserve">L. 47/85 e L. 724/94: dichiarazione sostitutiva ex art. 9 c. 2 LR 10/2004 presentata</t>
  </si>
  <si>
    <t xml:space="preserve">Condoni – solo condono L. 47/85 o L. 724/94</t>
  </si>
  <si>
    <t xml:space="preserve">Sez. 21.2 (termine 31/12/2026)</t>
  </si>
  <si>
    <t xml:space="preserve">H24</t>
  </si>
  <si>
    <t xml:space="preserve">L. 47/85 e L. 724/94: adeguamento sismico eseguito</t>
  </si>
  <si>
    <t xml:space="preserve">Sez. 21.2</t>
  </si>
  <si>
    <t xml:space="preserve">I – Leggi regionali (sottotetti, piscine, recinzioni, delocalizzazione)</t>
  </si>
  <si>
    <t xml:space="preserve">I00</t>
  </si>
  <si>
    <t xml:space="preserve">Leggi regionali</t>
  </si>
  <si>
    <t xml:space="preserve">Sezione I pertinente? (leggi regionali di settore)</t>
  </si>
  <si>
    <t xml:space="preserve">I01</t>
  </si>
  <si>
    <t xml:space="preserve">Tema regionale pertinente</t>
  </si>
  <si>
    <t xml:space="preserve">Sez. 16-22</t>
  </si>
  <si>
    <t xml:space="preserve">I02</t>
  </si>
  <si>
    <t xml:space="preserve">Edificio accatastato</t>
  </si>
  <si>
    <t xml:space="preserve">Sez. 18 (LR 13/2022)</t>
  </si>
  <si>
    <t xml:space="preserve">I03</t>
  </si>
  <si>
    <t xml:space="preserve">Destinazione residenziale prevalente</t>
  </si>
  <si>
    <t xml:space="preserve">Sez. 18, 20</t>
  </si>
  <si>
    <t xml:space="preserve">I04</t>
  </si>
  <si>
    <t xml:space="preserve">Piscina interrata: superficie</t>
  </si>
  <si>
    <t xml:space="preserve">Ordinari; Condoni; Accertamento – solo piscina</t>
  </si>
  <si>
    <t xml:space="preserve">LR 13/2022 art. 2 (piscine fino a 24 mq): sez. 18</t>
  </si>
  <si>
    <t xml:space="preserve">I05</t>
  </si>
  <si>
    <t xml:space="preserve">Piscina interrata: profondità</t>
  </si>
  <si>
    <t xml:space="preserve">Sez. 18</t>
  </si>
  <si>
    <t xml:space="preserve">I06</t>
  </si>
  <si>
    <t xml:space="preserve">Muro di cinta/recinzione: altezza</t>
  </si>
  <si>
    <t xml:space="preserve">Ordinari; Condoni; Accertamento – solo recinzione</t>
  </si>
  <si>
    <t xml:space="preserve">I07</t>
  </si>
  <si>
    <t xml:space="preserve">Muro di cinta/recinzione: materiale</t>
  </si>
  <si>
    <t xml:space="preserve">I08</t>
  </si>
  <si>
    <t xml:space="preserve">Sottotetto: data di esistenza</t>
  </si>
  <si>
    <t xml:space="preserve">Ordinari; Condoni; Accertamento – solo sottotetto</t>
  </si>
  <si>
    <t xml:space="preserve">Sez. 16.3, 19, 8 n. 8</t>
  </si>
  <si>
    <t xml:space="preserve">I09</t>
  </si>
  <si>
    <t xml:space="preserve">Sottotetto: collegamento all'unità sottostante</t>
  </si>
  <si>
    <t xml:space="preserve">Sez. 19</t>
  </si>
  <si>
    <t xml:space="preserve">I10</t>
  </si>
  <si>
    <t xml:space="preserve">Sottotetto: ampliamento di unità preesistente (in zona rossa)</t>
  </si>
  <si>
    <t xml:space="preserve">Sez. 16.3, 17</t>
  </si>
  <si>
    <t xml:space="preserve">I11</t>
  </si>
  <si>
    <t xml:space="preserve">Sottotetto: frazionamento in nuova unità</t>
  </si>
  <si>
    <t xml:space="preserve">Sez. 16.3</t>
  </si>
  <si>
    <t xml:space="preserve">I12</t>
  </si>
  <si>
    <t xml:space="preserve">Sottotetto: legittimità o sanatoria dell'edificio</t>
  </si>
  <si>
    <t xml:space="preserve">I13</t>
  </si>
  <si>
    <t xml:space="preserve">Sottotetto: area esclusa dal Consiglio comunale</t>
  </si>
  <si>
    <t xml:space="preserve">LR 15/2000 art. 1 c. 2: sez. 8 n. 8</t>
  </si>
  <si>
    <t xml:space="preserve">I14</t>
  </si>
  <si>
    <t xml:space="preserve">Sottotetto: altezza media</t>
  </si>
  <si>
    <t xml:space="preserve">Art. 43 quater LR 16/2004 (≥ 2,10 m): sez. 16.3</t>
  </si>
  <si>
    <t xml:space="preserve">I15</t>
  </si>
  <si>
    <t xml:space="preserve">Sottotetto: altezza al colmo</t>
  </si>
  <si>
    <t xml:space="preserve">I16</t>
  </si>
  <si>
    <t xml:space="preserve">Sottotetto: altezza ai muri perimetrali</t>
  </si>
  <si>
    <t xml:space="preserve">I17</t>
  </si>
  <si>
    <t xml:space="preserve">Sottotetto: altezza minima di parete (≥ 1,40 m)</t>
  </si>
  <si>
    <t xml:space="preserve">I18</t>
  </si>
  <si>
    <t xml:space="preserve">Delocalizzazione: unità adibita a prima casa</t>
  </si>
  <si>
    <t xml:space="preserve">Ordinari; Condoni; Accertamento – solo delocalizzazione</t>
  </si>
  <si>
    <t xml:space="preserve">Sez. 20.3 (art. 11 bis LR 19/2009)</t>
  </si>
  <si>
    <t xml:space="preserve">I19</t>
  </si>
  <si>
    <t xml:space="preserve">Delocalizzazione: quota di volumetria originaria destinata a uso non residenziale</t>
  </si>
  <si>
    <t xml:space="preserve">Sez. 17, 20.3 (almeno 50%)</t>
  </si>
  <si>
    <t xml:space="preserve">K – Contributo di costruzione</t>
  </si>
  <si>
    <t xml:space="preserve">Delibera n. 17 del 15/12/2025 e foglio di calcolo dell'ufficio.</t>
  </si>
  <si>
    <t xml:space="preserve">K00</t>
  </si>
  <si>
    <t xml:space="preserve">Contributo di costruzione</t>
  </si>
  <si>
    <t xml:space="preserve">Sezione K pertinente? (si calcola il contributo)</t>
  </si>
  <si>
    <t xml:space="preserve">K01</t>
  </si>
  <si>
    <t xml:space="preserve">Tipologia ai fini del K3</t>
  </si>
  <si>
    <t xml:space="preserve">Sez. 29.3</t>
  </si>
  <si>
    <t xml:space="preserve">K02</t>
  </si>
  <si>
    <t xml:space="preserve">Classe di indice di fabbricabilità (If)</t>
  </si>
  <si>
    <t xml:space="preserve">Ordinari; Condoni; Accertamento – solo residenziale</t>
  </si>
  <si>
    <t xml:space="preserve">K03</t>
  </si>
  <si>
    <t xml:space="preserve">Volume «vuoto per pieno» (V)</t>
  </si>
  <si>
    <t xml:space="preserve">Sez. 29.2 (≠ V.C. dell'Allegato 1 NTA: sez. 8 n. 15 d)</t>
  </si>
  <si>
    <t xml:space="preserve">K04</t>
  </si>
  <si>
    <t xml:space="preserve">Superficie utile (Su) per il costo di costruzione</t>
  </si>
  <si>
    <t xml:space="preserve">Sez. 29.5, 29.8</t>
  </si>
  <si>
    <t xml:space="preserve">K05</t>
  </si>
  <si>
    <t xml:space="preserve">Superficie non residenziale (Snr)</t>
  </si>
  <si>
    <t xml:space="preserve">K06</t>
  </si>
  <si>
    <t xml:space="preserve">Importo del computo metrico dei lavori (per l'esistente)</t>
  </si>
  <si>
    <t xml:space="preserve">€</t>
  </si>
  <si>
    <t xml:space="preserve">Sez. 29.8 (prassi d'ufficio: 10%, computo metrico)</t>
  </si>
  <si>
    <t xml:space="preserve">K07</t>
  </si>
  <si>
    <t xml:space="preserve">Impianti produttivi: numero di addetti</t>
  </si>
  <si>
    <t xml:space="preserve">Ordinari; Condoni; Accertamento – solo impianti produttivi</t>
  </si>
  <si>
    <t xml:space="preserve">Sez. 29.4 (Up1)</t>
  </si>
  <si>
    <t xml:space="preserve">K08</t>
  </si>
  <si>
    <t xml:space="preserve">Impianti produttivi: superficie S1</t>
  </si>
  <si>
    <t xml:space="preserve">Sez. 29.4</t>
  </si>
  <si>
    <t xml:space="preserve">K09</t>
  </si>
  <si>
    <t xml:space="preserve">Impianti produttivi: superficie S2</t>
  </si>
  <si>
    <t xml:space="preserve">K10</t>
  </si>
  <si>
    <t xml:space="preserve">Impianti produttivi: superficie S3</t>
  </si>
  <si>
    <t xml:space="preserve">K11</t>
  </si>
  <si>
    <t xml:space="preserve">Impianti produttivi: classe dell'industria (Cj)</t>
  </si>
  <si>
    <t xml:space="preserve">L – Relazione paesaggistica</t>
  </si>
  <si>
    <t xml:space="preserve">L00</t>
  </si>
  <si>
    <t xml:space="preserve">Relazione paesaggistica</t>
  </si>
  <si>
    <t xml:space="preserve">Sezione L pertinente? (serve l'autorizzazione paesaggistica)</t>
  </si>
  <si>
    <t xml:space="preserve">L01</t>
  </si>
  <si>
    <t xml:space="preserve">Procedimento paesaggistico</t>
  </si>
  <si>
    <t xml:space="preserve">Sez. 13.4, 13.6, 31; 8 n. 28 (vale la relazione semplificata del DPR 31)</t>
  </si>
  <si>
    <t xml:space="preserve">L02</t>
  </si>
  <si>
    <t xml:space="preserve">Relazione paesaggistica allegata</t>
  </si>
  <si>
    <t xml:space="preserve">Sez. 31</t>
  </si>
  <si>
    <t xml:space="preserve">L03</t>
  </si>
  <si>
    <t xml:space="preserve">Contenuto: analisi dello stato attuale</t>
  </si>
  <si>
    <t xml:space="preserve">Sez. 31 (DPCM 12/12/2005)</t>
  </si>
  <si>
    <t xml:space="preserve">L04</t>
  </si>
  <si>
    <t xml:space="preserve">Contenuto: livelli di tutela e beni culturali</t>
  </si>
  <si>
    <t xml:space="preserve">L05</t>
  </si>
  <si>
    <t xml:space="preserve">Contenuto: foto da 2 a 4 dal contesto e dai punti panoramici</t>
  </si>
  <si>
    <t xml:space="preserve">L06</t>
  </si>
  <si>
    <t xml:space="preserve">Contenuto: elaborati di progetto con prospetti e colori</t>
  </si>
  <si>
    <t xml:space="preserve">L07</t>
  </si>
  <si>
    <t xml:space="preserve">Contenuto: simulazione (rendering o fotoinserimento)</t>
  </si>
  <si>
    <t xml:space="preserve">L08</t>
  </si>
  <si>
    <t xml:space="preserve">Contenuto: effetti, mitigazioni e compensazioni</t>
  </si>
  <si>
    <t xml:space="preserve">L09</t>
  </si>
  <si>
    <t xml:space="preserve">Edificio esistente: rilievo dello stato di fatto e documentazione storica</t>
  </si>
  <si>
    <t xml:space="preserve">M – Edilizia libera (glossario DM 2/3/2018)</t>
  </si>
  <si>
    <t xml:space="preserve">M00</t>
  </si>
  <si>
    <t xml:space="preserve">Edilizia libera</t>
  </si>
  <si>
    <t xml:space="preserve">Sezione M pertinente? (edilizia libera o manufatti temporanei)</t>
  </si>
  <si>
    <t xml:space="preserve">M01</t>
  </si>
  <si>
    <t xml:space="preserve">Numero d'opera del glossario (1-58)</t>
  </si>
  <si>
    <t xml:space="preserve">Ordinari</t>
  </si>
  <si>
    <t xml:space="preserve">Sez. 33.3</t>
  </si>
  <si>
    <t xml:space="preserve">M02</t>
  </si>
  <si>
    <t xml:space="preserve">Superficie coperta del manufatto (limite 30 mq per le «limitate dimensioni»)</t>
  </si>
  <si>
    <t xml:space="preserve">Sez. 33; 8 n. 28 (30 mq = superficie coperta, solo pertinenze ammesse dalle NTA)</t>
  </si>
  <si>
    <t xml:space="preserve">M03</t>
  </si>
  <si>
    <t xml:space="preserve">Altezza del manufatto</t>
  </si>
  <si>
    <t xml:space="preserve">M04</t>
  </si>
  <si>
    <t xml:space="preserve">Tipo di ancoraggio</t>
  </si>
  <si>
    <t xml:space="preserve">M05</t>
  </si>
  <si>
    <t xml:space="preserve">Durata prevista (opere temporanee: max 180 giorni, non reiterabile)</t>
  </si>
  <si>
    <t xml:space="preserve">giorni</t>
  </si>
  <si>
    <t xml:space="preserve">Art. 6 lett. e-bis: sez. 8 n. 18 e 28</t>
  </si>
  <si>
    <t xml:space="preserve">M06</t>
  </si>
  <si>
    <t xml:space="preserve">Uso del manufatto</t>
  </si>
  <si>
    <t xml:space="preserve">M07</t>
  </si>
  <si>
    <t xml:space="preserve">Interno al centro edificato</t>
  </si>
  <si>
    <t xml:space="preserve">M08</t>
  </si>
  <si>
    <t xml:space="preserve">Indice di permeabilità dell'area</t>
  </si>
  <si>
    <t xml:space="preserve">N – Piano di protezione civile</t>
  </si>
  <si>
    <t xml:space="preserve">Il piano non ha efficacia edilizia: serve solo per le segnalazioni di attenzione.</t>
  </si>
  <si>
    <t xml:space="preserve">N00</t>
  </si>
  <si>
    <t xml:space="preserve">Piano di protezione civile</t>
  </si>
  <si>
    <t xml:space="preserve">Sezione N pertinente? (strade-cancello, aree di attesa, aumento residenti)</t>
  </si>
  <si>
    <t xml:space="preserve">N01</t>
  </si>
  <si>
    <t xml:space="preserve">Edificio/area coincidente con area di attesa, area di ricovero o sede COC</t>
  </si>
  <si>
    <t xml:space="preserve">Sez. 34.3, 34.7</t>
  </si>
  <si>
    <t xml:space="preserve">N02</t>
  </si>
  <si>
    <t xml:space="preserve">Intervento che incide su carreggiata, sedime o accesso di una strada-cancello</t>
  </si>
  <si>
    <t xml:space="preserve">Sez. 34.3 (attenzione, non diniego: 8 n. 28)</t>
  </si>
  <si>
    <t xml:space="preserve">N03</t>
  </si>
  <si>
    <t xml:space="preserve">Quale strada-cancello (indicare la denominazione dal piano)</t>
  </si>
  <si>
    <t xml:space="preserve">Ordinari; Accertamento – solo se incide su una strada-cancello</t>
  </si>
  <si>
    <t xml:space="preserve">Sez. 34.7</t>
  </si>
  <si>
    <t xml:space="preserve">N04</t>
  </si>
  <si>
    <t xml:space="preserve">Aumento dei residenti previsti (unità abitative, posti letto, strutture ricettive o di assistenza)</t>
  </si>
  <si>
    <t xml:space="preserve">N05</t>
  </si>
  <si>
    <t xml:space="preserve">Entità dell'aumento</t>
  </si>
  <si>
    <t xml:space="preserve">Ordinari; Accertamento – solo se aumentano i residenti</t>
  </si>
  <si>
    <t xml:space="preserve">S – Competenza sismica (LR 26/2025)</t>
  </si>
  <si>
    <t xml:space="preserve">Il Comune ha la commissione sismica attiva.</t>
  </si>
  <si>
    <t xml:space="preserve">S00</t>
  </si>
  <si>
    <t xml:space="preserve">Competenza sismica</t>
  </si>
  <si>
    <t xml:space="preserve">Sezione S pertinente? (lavori su parti strutturali)</t>
  </si>
  <si>
    <t xml:space="preserve">S01</t>
  </si>
  <si>
    <t xml:space="preserve">Altezza strutturale (dal piano di posa delle fondazioni all'estradosso del torrino scala o al colmo)</t>
  </si>
  <si>
    <t xml:space="preserve">Sez. 36 (limite 16,50 m)</t>
  </si>
  <si>
    <t xml:space="preserve">S02</t>
  </si>
  <si>
    <t xml:space="preserve">Profondità della parte interrata</t>
  </si>
  <si>
    <t xml:space="preserve">Sez. 36 (limite 4,00 m)</t>
  </si>
  <si>
    <t xml:space="preserve">S03</t>
  </si>
  <si>
    <t xml:space="preserve">Istanza sismica già inoltrata al Genio Civile prima del 01/11/2025</t>
  </si>
  <si>
    <t xml:space="preserve">Sez. 36 (LR 26/2025 art. 1 c. 1 ter)</t>
  </si>
  <si>
    <t xml:space="preserve">P – Immobile con istanza di condono pendente (Delibera C.C. n. 22/2023)</t>
  </si>
  <si>
    <t xml:space="preserve">Solo per interventi su immobili con istanza non definita.</t>
  </si>
  <si>
    <t xml:space="preserve">P00</t>
  </si>
  <si>
    <t xml:space="preserve">Immobile con istanza di condono pendente</t>
  </si>
  <si>
    <t xml:space="preserve">Sezione P pertinente? (condono L. 47/85 o L. 724/94 pendente sull'immobile)</t>
  </si>
  <si>
    <t xml:space="preserve">P01</t>
  </si>
  <si>
    <t xml:space="preserve">Legge dell'istanza di condono pendente</t>
  </si>
  <si>
    <t xml:space="preserve">Sez. 37.3 (non vale per la L. 326/2003)</t>
  </si>
  <si>
    <t xml:space="preserve">P02</t>
  </si>
  <si>
    <t xml:space="preserve">Tipo di intervento richiesto</t>
  </si>
  <si>
    <t xml:space="preserve">Sez. 37.2</t>
  </si>
  <si>
    <t xml:space="preserve">P03</t>
  </si>
  <si>
    <t xml:space="preserve">Cambio d'uso, frazionamento o accorpamento di unità</t>
  </si>
  <si>
    <t xml:space="preserve">Sez. 37.2 (condizioni ii)</t>
  </si>
  <si>
    <t xml:space="preserve">P04</t>
  </si>
  <si>
    <t xml:space="preserve">Modifiche ai prospetti, alla superficie o al volume</t>
  </si>
  <si>
    <t xml:space="preserve">Sez. 37.2 (condizioni iii e iv)</t>
  </si>
  <si>
    <t xml:space="preserve">P05</t>
  </si>
  <si>
    <t xml:space="preserve">Fotovoltaico/termico in copertura visibile da aree pubbliche o punti panoramici</t>
  </si>
  <si>
    <t xml:space="preserve">Sez. 37.2 n. 3</t>
  </si>
  <si>
    <t xml:space="preserve">P06</t>
  </si>
  <si>
    <t xml:space="preserve">Valutazione della sicurezza NTC (§ 8.3) acquisita</t>
  </si>
  <si>
    <t xml:space="preserve">Sez. 37.2 n. 2</t>
  </si>
  <si>
    <t xml:space="preserve">P07</t>
  </si>
  <si>
    <t xml:space="preserve">Autodichiarazione e perizia giurata presenti</t>
  </si>
  <si>
    <t xml:space="preserve">Sez. 37.2 n. 2-3</t>
  </si>
  <si>
    <t xml:space="preserve">P08</t>
  </si>
  <si>
    <t xml:space="preserve">Oblazione e oneri versati integralmente</t>
  </si>
  <si>
    <t xml:space="preserve">Sez. 37.3 (oneri: segnalati, non calcolati)</t>
  </si>
  <si>
    <t xml:space="preserve">P09</t>
  </si>
  <si>
    <t xml:space="preserve">Ordinanze, sequestri o ricorsi pendenti</t>
  </si>
  <si>
    <t xml:space="preserve">Sez. 37.3</t>
  </si>
  <si>
    <t xml:space="preserve">P10</t>
  </si>
  <si>
    <t xml:space="preserve">Opere eseguite dopo la presentazione della domanda di condono</t>
  </si>
  <si>
    <t xml:space="preserve">Controlli – dati mancanti e segnalazioni automatiche</t>
  </si>
  <si>
    <t xml:space="preserve">Le formule leggono il foglio «Scheda_1». Un campo obbligatorio vuoto è «MANCANTE» (rosso); «non noto» è accettato ma contato a parte. Le segnalazioni non sostituiscono la verifica del funzionario.</t>
  </si>
  <si>
    <t xml:space="preserve">Riepilogo</t>
  </si>
  <si>
    <t xml:space="preserve">Proc.</t>
  </si>
  <si>
    <t xml:space="preserve">Gruppo</t>
  </si>
  <si>
    <t xml:space="preserve">Gruppo del procedimento (ORD / CON / AGI / ACC)</t>
  </si>
  <si>
    <t xml:space="preserve">Parametri</t>
  </si>
  <si>
    <t xml:space="preserve">Qualificazione con parametri edilizi (1 = sì)</t>
  </si>
  <si>
    <t xml:space="preserve">Uso/carico</t>
  </si>
  <si>
    <t xml:space="preserve">Qualificazione che può cambiare uso o carico (1 = sì)</t>
  </si>
  <si>
    <t xml:space="preserve">Dem.-ric.</t>
  </si>
  <si>
    <t xml:space="preserve">Demolizione e ricostruzione (1 = sì)</t>
  </si>
  <si>
    <t xml:space="preserve">Tetto</t>
  </si>
  <si>
    <t xml:space="preserve">Intervento «tetto» (1 = sì)</t>
  </si>
  <si>
    <t xml:space="preserve">Obbligatori</t>
  </si>
  <si>
    <t xml:space="preserve">campi richiesti per questo procedimento</t>
  </si>
  <si>
    <t xml:space="preserve">Compilati</t>
  </si>
  <si>
    <t xml:space="preserve">campi richiesti e compilati</t>
  </si>
  <si>
    <t xml:space="preserve">MANCANTI</t>
  </si>
  <si>
    <t xml:space="preserve">campi richiesti e vuoti</t>
  </si>
  <si>
    <t xml:space="preserve">Non noti</t>
  </si>
  <si>
    <t xml:space="preserve">campi richiesti con valore «non noto»</t>
  </si>
  <si>
    <t xml:space="preserve">Segnalazioni automatiche (vuote = nessuna)</t>
  </si>
  <si>
    <t xml:space="preserve">Zona A-F</t>
  </si>
  <si>
    <t xml:space="preserve">Vincolo/opere</t>
  </si>
  <si>
    <t xml:space="preserve">Sez. H</t>
  </si>
  <si>
    <t xml:space="preserve">Sez. M</t>
  </si>
  <si>
    <t xml:space="preserve">Sez. I</t>
  </si>
  <si>
    <t xml:space="preserve">Sez. S</t>
  </si>
  <si>
    <t xml:space="preserve">Sismica</t>
  </si>
  <si>
    <t xml:space="preserve">PSAI R3/R4</t>
  </si>
  <si>
    <t xml:space="preserve">Rischio atteso</t>
  </si>
  <si>
    <t xml:space="preserve">Condono pend.</t>
  </si>
  <si>
    <t xml:space="preserve">Date</t>
  </si>
  <si>
    <t xml:space="preserve">Zona rossa</t>
  </si>
  <si>
    <t xml:space="preserve">K3</t>
  </si>
  <si>
    <t xml:space="preserve">Regole per campo (X = sempre; P, C, DR, T = solo se la qualificazione ha quel flag, vedi Elenchi)</t>
  </si>
  <si>
    <t xml:space="preserve">ORD</t>
  </si>
  <si>
    <t xml:space="preserve">CON</t>
  </si>
  <si>
    <t xml:space="preserve">AGI</t>
  </si>
  <si>
    <t xml:space="preserve">ACC</t>
  </si>
  <si>
    <t xml:space="preserve">Pertinente</t>
  </si>
  <si>
    <t xml:space="preserve">Condizione</t>
  </si>
  <si>
    <t xml:space="preserve">Regola</t>
  </si>
  <si>
    <t xml:space="preserve">Obbligatorio</t>
  </si>
  <si>
    <t xml:space="preserve">X</t>
  </si>
  <si>
    <t xml:space="preserve">P</t>
  </si>
  <si>
    <t xml:space="preserve">C</t>
  </si>
  <si>
    <t xml:space="preserve">DR</t>
  </si>
  <si>
    <t xml:space="preserve">T</t>
  </si>
  <si>
    <t xml:space="preserve">Esempio 2 – CILA su immobile con condono pendente – valutazione pratiche urbanistiche (v1)</t>
  </si>
  <si>
    <t xml:space="preserve">ESEMPIO-FITTIZIO-02</t>
  </si>
  <si>
    <t xml:space="preserve">CILA</t>
  </si>
  <si>
    <t xml:space="preserve">Manutenzione straordinaria</t>
  </si>
  <si>
    <t xml:space="preserve">ESEMPIO FITTIZIO: manutenzione straordinaria (rifacimento di intonaci e infissi interni) di un fabbricato con istanza di condono L. 47/85 non definita.</t>
  </si>
  <si>
    <t xml:space="preserve">Art. 16 – Urbani di riassetto, parti edificate</t>
  </si>
  <si>
    <t xml:space="preserve">B</t>
  </si>
  <si>
    <t xml:space="preserve">Dentro</t>
  </si>
  <si>
    <t xml:space="preserve">Allegato B (semplificata)</t>
  </si>
  <si>
    <t xml:space="preserve">R2</t>
  </si>
  <si>
    <t xml:space="preserve">Non noto</t>
  </si>
  <si>
    <t xml:space="preserve">Nessun titolo (preesistente all'obbligo di titolo)</t>
  </si>
  <si>
    <t xml:space="preserve">1945-1955</t>
  </si>
  <si>
    <t xml:space="preserve">Da acquisire d'ufficio</t>
  </si>
  <si>
    <t xml:space="preserve">Totale difformità</t>
  </si>
  <si>
    <t xml:space="preserve">L. 47/85</t>
  </si>
  <si>
    <t xml:space="preserve">Le formule leggono il foglio «Scheda_2». Un campo obbligatorio vuoto è «MANCANTE» (rosso); «non noto» è accettato ma contato a parte. Le segnalazioni non sostituiscono la verifica del funzionario.</t>
  </si>
  <si>
    <t xml:space="preserve">Gruppo (ORD/CON/AGI/ACC)</t>
  </si>
  <si>
    <t xml:space="preserve">Qualificazione dell'intervento</t>
  </si>
  <si>
    <t xml:space="preserve">P: ha parametri edilizi (1/0)</t>
  </si>
  <si>
    <t xml:space="preserve">C: può cambiare uso/carico (1/0)</t>
  </si>
  <si>
    <t xml:space="preserve">DR: demolizione-ricostruzione (1/0)</t>
  </si>
  <si>
    <t xml:space="preserve">T: intervento tetto (1/0)</t>
  </si>
  <si>
    <t xml:space="preserve">Art.</t>
  </si>
  <si>
    <t xml:space="preserve">Zona A-F di default (sez. 35.0)</t>
  </si>
  <si>
    <t xml:space="preserve">Colonna K3</t>
  </si>
  <si>
    <t xml:space="preserve">Ambito agricolo (1/0)</t>
  </si>
  <si>
    <t xml:space="preserve">SN</t>
  </si>
  <si>
    <t xml:space="preserve">SNNN</t>
  </si>
  <si>
    <t xml:space="preserve">ACQ</t>
  </si>
  <si>
    <t xml:space="preserve">ZONA</t>
  </si>
  <si>
    <t xml:space="preserve">RISCHIO</t>
  </si>
  <si>
    <t xml:space="preserve">INAREA</t>
  </si>
  <si>
    <t xml:space="preserve">PTP</t>
  </si>
  <si>
    <t xml:space="preserve">PARCO</t>
  </si>
  <si>
    <t xml:space="preserve">FASCIA</t>
  </si>
  <si>
    <t xml:space="preserve">DPR31</t>
  </si>
  <si>
    <t xml:space="preserve">CATSISM</t>
  </si>
  <si>
    <t xml:space="preserve">TITORIG</t>
  </si>
  <si>
    <t xml:space="preserve">EPOCA</t>
  </si>
  <si>
    <t xml:space="preserve">STATOLEG</t>
  </si>
  <si>
    <t xml:space="preserve">DIFFQUAL</t>
  </si>
  <si>
    <t xml:space="preserve">DOCDATA</t>
  </si>
  <si>
    <t xml:space="preserve">PARKUBIC</t>
  </si>
  <si>
    <t xml:space="preserve">USO</t>
  </si>
  <si>
    <t xml:space="preserve">PARERE</t>
  </si>
  <si>
    <t xml:space="preserve">TIPOL</t>
  </si>
  <si>
    <t xml:space="preserve">LETT380</t>
  </si>
  <si>
    <t xml:space="preserve">ONERIDEF</t>
  </si>
  <si>
    <t xml:space="preserve">LRTIPO</t>
  </si>
  <si>
    <t xml:space="preserve">RECMAT</t>
  </si>
  <si>
    <t xml:space="preserve">LEGIT</t>
  </si>
  <si>
    <t xml:space="preserve">K3TIPO</t>
  </si>
  <si>
    <t xml:space="preserve">IFCLASS</t>
  </si>
  <si>
    <t xml:space="preserve">PROCPAES</t>
  </si>
  <si>
    <t xml:space="preserve">ANCORAGGIO</t>
  </si>
  <si>
    <t xml:space="preserve">MUSO</t>
  </si>
  <si>
    <t xml:space="preserve">LEGGEPEND</t>
  </si>
  <si>
    <t xml:space="preserve">PTIPO</t>
  </si>
  <si>
    <t xml:space="preserve">SWITCH</t>
  </si>
  <si>
    <t xml:space="preserve">PdC</t>
  </si>
  <si>
    <t xml:space="preserve">Manutenzione ordinaria</t>
  </si>
  <si>
    <t xml:space="preserve">Art. 7 – Collinari e montani di tutela naturale</t>
  </si>
  <si>
    <t xml:space="preserve">7</t>
  </si>
  <si>
    <t xml:space="preserve">E</t>
  </si>
  <si>
    <t xml:space="preserve">Acquisita</t>
  </si>
  <si>
    <t xml:space="preserve">A</t>
  </si>
  <si>
    <t xml:space="preserve">Interamente</t>
  </si>
  <si>
    <t xml:space="preserve">PI</t>
  </si>
  <si>
    <t xml:space="preserve">Nessuna</t>
  </si>
  <si>
    <t xml:space="preserve">Rilevante</t>
  </si>
  <si>
    <t xml:space="preserve">Ante 1945</t>
  </si>
  <si>
    <t xml:space="preserve">Assenza di titolo</t>
  </si>
  <si>
    <t xml:space="preserve">Foto aeree / ortofoto</t>
  </si>
  <si>
    <t xml:space="preserve">A – Abitativo</t>
  </si>
  <si>
    <t xml:space="preserve">Acquisito</t>
  </si>
  <si>
    <t xml:space="preserve">1 – Senza titolo, non conformi</t>
  </si>
  <si>
    <t xml:space="preserve">b</t>
  </si>
  <si>
    <t xml:space="preserve">Sì, entro il termine</t>
  </si>
  <si>
    <t xml:space="preserve">Recupero abitativo del sottotetto</t>
  </si>
  <si>
    <t xml:space="preserve">Muratura</t>
  </si>
  <si>
    <t xml:space="preserve">Legittimo</t>
  </si>
  <si>
    <t xml:space="preserve">Residenziale (nuova costruzione)</t>
  </si>
  <si>
    <t xml:space="preserve">If &lt; 1,50 mc/mq</t>
  </si>
  <si>
    <t xml:space="preserve">Autorizzazione ordinaria (art. 146)</t>
  </si>
  <si>
    <t xml:space="preserve">Ancorato stabilmente</t>
  </si>
  <si>
    <t xml:space="preserve">Agricolo</t>
  </si>
  <si>
    <t xml:space="preserve">Art. 8 – Agricoli di salvaguardia</t>
  </si>
  <si>
    <t xml:space="preserve">8</t>
  </si>
  <si>
    <t xml:space="preserve">Non acquisita</t>
  </si>
  <si>
    <t xml:space="preserve">R1</t>
  </si>
  <si>
    <t xml:space="preserve">Parzialmente</t>
  </si>
  <si>
    <t xml:space="preserve">RUA</t>
  </si>
  <si>
    <t xml:space="preserve">Contiguo</t>
  </si>
  <si>
    <t xml:space="preserve">Stradale</t>
  </si>
  <si>
    <t xml:space="preserve">Allegato A (esclusa)</t>
  </si>
  <si>
    <t xml:space="preserve">Di minore rilevanza</t>
  </si>
  <si>
    <t xml:space="preserve">SCIA / DIA</t>
  </si>
  <si>
    <t xml:space="preserve">Catasto storico</t>
  </si>
  <si>
    <t xml:space="preserve">Interrato</t>
  </si>
  <si>
    <t xml:space="preserve">B – Industriale/artigianale</t>
  </si>
  <si>
    <t xml:space="preserve">Non acquisito</t>
  </si>
  <si>
    <t xml:space="preserve">2 – Senza titolo, conformi</t>
  </si>
  <si>
    <t xml:space="preserve">c</t>
  </si>
  <si>
    <t xml:space="preserve">Sì, oltre il termine</t>
  </si>
  <si>
    <t xml:space="preserve">Piscina interrata</t>
  </si>
  <si>
    <t xml:space="preserve">Calcestruzzo</t>
  </si>
  <si>
    <t xml:space="preserve">Sanato L. 47/85</t>
  </si>
  <si>
    <t xml:space="preserve">Edilizia convenzionata o sovvenzionata</t>
  </si>
  <si>
    <t xml:space="preserve">1,50 ≤ If ≤ 3,00 mc/mq</t>
  </si>
  <si>
    <t xml:space="preserve">Semplificata (DPR 31/2017)</t>
  </si>
  <si>
    <t xml:space="preserve">Amovibile</t>
  </si>
  <si>
    <t xml:space="preserve">Pertinenziale</t>
  </si>
  <si>
    <t xml:space="preserve">L. 724/94</t>
  </si>
  <si>
    <t xml:space="preserve">SCIA alternativa al PdC</t>
  </si>
  <si>
    <t xml:space="preserve">Restauro e risanamento conservativo</t>
  </si>
  <si>
    <t xml:space="preserve">Art. 9 – Agricoli pedecollinari e di pianura</t>
  </si>
  <si>
    <t xml:space="preserve">9</t>
  </si>
  <si>
    <t xml:space="preserve">Non necessario</t>
  </si>
  <si>
    <t xml:space="preserve">B-PUA</t>
  </si>
  <si>
    <t xml:space="preserve">Altra zona PTP</t>
  </si>
  <si>
    <t xml:space="preserve">Ferroviaria</t>
  </si>
  <si>
    <t xml:space="preserve">Privo di rilevanza</t>
  </si>
  <si>
    <t xml:space="preserve">Condono rilasciato</t>
  </si>
  <si>
    <t xml:space="preserve">Variazioni essenziali</t>
  </si>
  <si>
    <t xml:space="preserve">Atto o certificazione ufficiale</t>
  </si>
  <si>
    <t xml:space="preserve">Fuori lotto</t>
  </si>
  <si>
    <t xml:space="preserve">Dissenso</t>
  </si>
  <si>
    <t xml:space="preserve">3 – Ristrutturazione edilizia</t>
  </si>
  <si>
    <t xml:space="preserve">d</t>
  </si>
  <si>
    <t xml:space="preserve">Muro di cinta / recinzione</t>
  </si>
  <si>
    <t xml:space="preserve">Rete metallica / siepe</t>
  </si>
  <si>
    <t xml:space="preserve">Sanato L. 724/94</t>
  </si>
  <si>
    <t xml:space="preserve">Terziaria direzionale o commerciale</t>
  </si>
  <si>
    <t xml:space="preserve">If &gt; 3,00 mc/mq</t>
  </si>
  <si>
    <t xml:space="preserve">Scheda semplificata (DPCM 12/12/2005)</t>
  </si>
  <si>
    <t xml:space="preserve">Altro</t>
  </si>
  <si>
    <t xml:space="preserve">Efficientamento energetico</t>
  </si>
  <si>
    <t xml:space="preserve">Ristrutturazione edilizia senza demolizione</t>
  </si>
  <si>
    <t xml:space="preserve">Art. 10 – Agricoli periurbani</t>
  </si>
  <si>
    <t xml:space="preserve">10</t>
  </si>
  <si>
    <t xml:space="preserve">R3</t>
  </si>
  <si>
    <t xml:space="preserve">Fluviale o canali</t>
  </si>
  <si>
    <t xml:space="preserve">Nessun titolo (abusivo)</t>
  </si>
  <si>
    <t xml:space="preserve">Non nota</t>
  </si>
  <si>
    <t xml:space="preserve">Parziale difformità</t>
  </si>
  <si>
    <t xml:space="preserve">Altra documentazione</t>
  </si>
  <si>
    <t xml:space="preserve">Non previsti</t>
  </si>
  <si>
    <t xml:space="preserve">Non richiesto</t>
  </si>
  <si>
    <t xml:space="preserve">4 – Restauro e risanamento (zona A)</t>
  </si>
  <si>
    <t xml:space="preserve">Delocalizzazione dalla zona rossa</t>
  </si>
  <si>
    <t xml:space="preserve">Sanato L. 326/03</t>
  </si>
  <si>
    <t xml:space="preserve">Turistica residenziale</t>
  </si>
  <si>
    <t xml:space="preserve">Ristrutturazione con demolizione e ricostruzione</t>
  </si>
  <si>
    <t xml:space="preserve">Art. 11 – Agricoli urbani</t>
  </si>
  <si>
    <t xml:space="preserve">11</t>
  </si>
  <si>
    <t xml:space="preserve">D</t>
  </si>
  <si>
    <t xml:space="preserve">R4</t>
  </si>
  <si>
    <t xml:space="preserve">Elettrodotto</t>
  </si>
  <si>
    <t xml:space="preserve">Tolleranza (art. 34-bis)</t>
  </si>
  <si>
    <t xml:space="preserve">E – Ricettivo</t>
  </si>
  <si>
    <t xml:space="preserve">5 – Restauro e risanamento</t>
  </si>
  <si>
    <t xml:space="preserve">Non legittimo</t>
  </si>
  <si>
    <t xml:space="preserve">Attrezzature di tempo libero</t>
  </si>
  <si>
    <t xml:space="preserve">Altro (eccedente)</t>
  </si>
  <si>
    <t xml:space="preserve">Condono L. 47/85</t>
  </si>
  <si>
    <t xml:space="preserve">Ristrutturazione urbanistica</t>
  </si>
  <si>
    <t xml:space="preserve">Art. 12 – Florovivaismo</t>
  </si>
  <si>
    <t xml:space="preserve">12</t>
  </si>
  <si>
    <t xml:space="preserve">Captazione acque</t>
  </si>
  <si>
    <t xml:space="preserve">F – Ricreativo</t>
  </si>
  <si>
    <t xml:space="preserve">6 – Manutenzione straordinaria</t>
  </si>
  <si>
    <t xml:space="preserve">Ristrutturazione con incremento di superficie</t>
  </si>
  <si>
    <t xml:space="preserve">Condono L. 724/94</t>
  </si>
  <si>
    <t xml:space="preserve">Nuova costruzione</t>
  </si>
  <si>
    <t xml:space="preserve">Art. 14 – Recupero e valorizzazione (centri storici)</t>
  </si>
  <si>
    <t xml:space="preserve">14</t>
  </si>
  <si>
    <t xml:space="preserve">F</t>
  </si>
  <si>
    <t xml:space="preserve">Cimiteriale</t>
  </si>
  <si>
    <t xml:space="preserve">G – Attrezzature pubbliche</t>
  </si>
  <si>
    <t xml:space="preserve">Ristrutturazione con variazione d'uso</t>
  </si>
  <si>
    <t xml:space="preserve">Condono L. 326/03</t>
  </si>
  <si>
    <t xml:space="preserve">Ampliamento</t>
  </si>
  <si>
    <t xml:space="preserve">15</t>
  </si>
  <si>
    <t xml:space="preserve">B – intervento diretto</t>
  </si>
  <si>
    <t xml:space="preserve">Più di una</t>
  </si>
  <si>
    <t xml:space="preserve">H – Rurale</t>
  </si>
  <si>
    <t xml:space="preserve">Ristrutturazione non convenzionata fuori legge</t>
  </si>
  <si>
    <t xml:space="preserve">Sopraelevazione</t>
  </si>
  <si>
    <t xml:space="preserve">16</t>
  </si>
  <si>
    <t xml:space="preserve">Ristrutturazione urbanistica (foglio ufficio)</t>
  </si>
  <si>
    <t xml:space="preserve">Accertamento di conformità art. 36</t>
  </si>
  <si>
    <t xml:space="preserve">Art. 16 – Urbani di riassetto, parti libere soggette a PUA</t>
  </si>
  <si>
    <t xml:space="preserve">B – PUA (foglio ufficio)</t>
  </si>
  <si>
    <t xml:space="preserve">Impianti industriali e artigianali</t>
  </si>
  <si>
    <t xml:space="preserve">Accertamento di conformità art. 36-bis</t>
  </si>
  <si>
    <t xml:space="preserve">Cambio d'uso con opere</t>
  </si>
  <si>
    <t xml:space="preserve">Art. 17 – Ambiti di trasformabilità (disposizioni generali)</t>
  </si>
  <si>
    <t xml:space="preserve">17</t>
  </si>
  <si>
    <t xml:space="preserve">non in tabella 35.0: indicare la zona</t>
  </si>
  <si>
    <t xml:space="preserve">Altro (descrivere)</t>
  </si>
  <si>
    <t xml:space="preserve">Intervento «tetto» (copertura piana → tetto)</t>
  </si>
  <si>
    <t xml:space="preserve">Art. 18 – Trasformabilità strategica ATS-1 (decaduto), ATS-3, 4, 5</t>
  </si>
  <si>
    <t xml:space="preserve">18</t>
  </si>
  <si>
    <t xml:space="preserve">Art. 19 – Trasformabilità integrata (ATI)</t>
  </si>
  <si>
    <t xml:space="preserve">19</t>
  </si>
  <si>
    <t xml:space="preserve">Pertinenze e manufatti (tettoie, autorimesse, volumi tecnici)</t>
  </si>
  <si>
    <t xml:space="preserve">Art. 20 – Produttive esistenti interne</t>
  </si>
  <si>
    <t xml:space="preserve">20</t>
  </si>
  <si>
    <t xml:space="preserve">Demolizione senza ricostruzione</t>
  </si>
  <si>
    <t xml:space="preserve">Art. 21 – Produttive esistenti esterne</t>
  </si>
  <si>
    <t xml:space="preserve">21</t>
  </si>
  <si>
    <t xml:space="preserve">Altro (specificare nella descrizione)</t>
  </si>
  <si>
    <t xml:space="preserve">Art. 22 – Produttive di riassetto e completamento</t>
  </si>
  <si>
    <t xml:space="preserve">22</t>
  </si>
  <si>
    <t xml:space="preserve">Art. 23 – Produttive incompatibili</t>
  </si>
  <si>
    <t xml:space="preserve">23</t>
  </si>
  <si>
    <t xml:space="preserve">Art. 24 – Produttive dismesse</t>
  </si>
  <si>
    <t xml:space="preserve">24</t>
  </si>
  <si>
    <t xml:space="preserve">Art. 25 – Distributori di carburante</t>
  </si>
  <si>
    <t xml:space="preserve">25</t>
  </si>
  <si>
    <t xml:space="preserve">Art. 26 – Attività turistiche e ricettive esistenti</t>
  </si>
  <si>
    <t xml:space="preserve">26</t>
  </si>
  <si>
    <t xml:space="preserve">Art. 27 – Trasformabilità per attività produttive (ATP)</t>
  </si>
  <si>
    <t xml:space="preserve">27</t>
  </si>
  <si>
    <t xml:space="preserve">Art. 28 – Attrezzature pubbliche locali</t>
  </si>
  <si>
    <t xml:space="preserve">28</t>
  </si>
  <si>
    <t xml:space="preserve">Artt. 29 e 47 – Attrezzature pubbliche territoriali</t>
  </si>
  <si>
    <t xml:space="preserve">29</t>
  </si>
  <si>
    <t xml:space="preserve">Art. 30 – Attrezzature private esistenti</t>
  </si>
  <si>
    <t xml:space="preserve">30</t>
  </si>
  <si>
    <t xml:space="preserve">Art. 30 bis – Attrezzature private dismesse</t>
  </si>
  <si>
    <t xml:space="preserve">30 bis</t>
  </si>
  <si>
    <t xml:space="preserve">Art. 31 – Servizi generali e impianti tecnologici</t>
  </si>
  <si>
    <t xml:space="preserve">31</t>
  </si>
  <si>
    <t xml:space="preserve">Artt. 32-35 – Sistema infrastrutturale (nessuna zona)</t>
  </si>
  <si>
    <t xml:space="preserve">32-35</t>
  </si>
  <si>
    <t xml:space="preserve">nessuna corrispondenza</t>
  </si>
  <si>
    <t xml:space="preserve">Altro / non noto</t>
  </si>
  <si>
    <t xml:space="preserve">Default = assimilazione ambiti NTA → zone DM 1444/68 (sez. 35.0, decisioni dell'utente del 19/10/2026): non è una norma; se la scheda indica la zona, prevale.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</si>
</sst>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ptos"/>
      <family val="0"/>
      <charset val="1"/>
    </font>
    <font>
      <sz val="11"/>
      <color rgb="FF2E5395"/>
      <name val="Aptos"/>
      <family val="0"/>
      <charset val="1"/>
    </font>
    <font>
      <i val="true"/>
      <sz val="9"/>
      <color rgb="FF6B6B6B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10"/>
      <color rgb="FF262626"/>
      <name val="Aptos"/>
      <family val="0"/>
      <charset val="1"/>
    </font>
    <font>
      <b val="true"/>
      <i val="true"/>
      <sz val="10"/>
      <color rgb="FF9B1C28"/>
      <name val="Aptos"/>
      <family val="0"/>
      <charset val="1"/>
    </font>
    <font>
      <b val="true"/>
      <sz val="11"/>
      <color rgb="FF262626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sz val="9"/>
      <color rgb="FF6B6B6B"/>
      <name val="Aptos"/>
      <family val="0"/>
      <charset val="1"/>
    </font>
    <font>
      <i val="true"/>
      <sz val="10"/>
      <color rgb="FF2E5395"/>
      <name val="Aptos"/>
      <family val="0"/>
      <charset val="1"/>
    </font>
    <font>
      <b val="true"/>
      <sz val="9"/>
      <color rgb="FF262626"/>
      <name val="Aptos"/>
      <family val="0"/>
      <charset val="1"/>
    </font>
    <font>
      <b val="true"/>
      <sz val="10"/>
      <color rgb="FF262626"/>
      <name val="Aptos"/>
      <family val="0"/>
      <charset val="1"/>
    </font>
    <font>
      <b val="true"/>
      <sz val="14"/>
      <color rgb="FF1F3864"/>
      <name val="Aptos"/>
      <family val="0"/>
      <charset val="1"/>
    </font>
    <font>
      <b val="true"/>
      <sz val="10"/>
      <color rgb="FF2E5395"/>
      <name val="Aptos"/>
      <family val="0"/>
      <charset val="1"/>
    </font>
    <font>
      <sz val="9"/>
      <color rgb="FF262626"/>
      <name val="Aptos"/>
      <family val="0"/>
      <charset val="1"/>
    </font>
    <font>
      <i val="true"/>
      <sz val="10"/>
      <color rgb="FF6B6B6B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F2F4F7"/>
        <bgColor rgb="FFFFFFFF"/>
      </patternFill>
    </fill>
    <fill>
      <patternFill patternType="solid">
        <fgColor rgb="FF1F3864"/>
        <bgColor rgb="FF26262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color rgb="FFB0B5BD"/>
      </font>
      <fill>
        <patternFill>
          <bgColor rgb="FFFFFFFF"/>
        </patternFill>
      </fill>
    </dxf>
    <dxf>
      <font>
        <color rgb="FF9B1C28"/>
      </font>
      <fill>
        <patternFill>
          <bgColor rgb="FFF8D7DA"/>
        </patternFill>
      </fill>
    </dxf>
    <dxf>
      <fill>
        <patternFill>
          <bgColor rgb="FFFFF3CD"/>
        </patternFill>
      </fill>
    </dxf>
    <dxf>
      <font>
        <b val="1"/>
        <color rgb="FF9B1C28"/>
      </font>
    </dxf>
    <dxf>
      <font>
        <b val="1"/>
        <color rgb="FF2A9D8F"/>
      </font>
    </dxf>
    <dxf>
      <font>
        <b val="1"/>
        <color rgb="FF9B1C28"/>
      </font>
      <fill>
        <patternFill>
          <bgColor rgb="FFF8D7DA"/>
        </patternFill>
      </fill>
    </dxf>
    <dxf>
      <font>
        <b val="1"/>
        <color rgb="FF1B6F66"/>
      </font>
      <fill>
        <patternFill>
          <bgColor rgb="FFD9F0EC"/>
        </patternFill>
      </fill>
    </dxf>
    <dxf>
      <font>
        <b val="1"/>
        <color rgb="FF7A5C00"/>
      </font>
      <fill>
        <patternFill>
          <bgColor rgb="FFFFF3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1B6F66"/>
      <rgbColor rgb="FFB0B5BD"/>
      <rgbColor rgb="FF808080"/>
      <rgbColor rgb="FF9999FF"/>
      <rgbColor rgb="FF993366"/>
      <rgbColor rgb="FFFFF3CD"/>
      <rgbColor rgb="FFD9F0EC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1F3864"/>
      <rgbColor rgb="FF2A9D8F"/>
      <rgbColor rgb="FF003300"/>
      <rgbColor rgb="FF333300"/>
      <rgbColor rgb="FF9B1C28"/>
      <rgbColor rgb="FF993366"/>
      <rgbColor rgb="FF2E5395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418680</xdr:colOff>
      <xdr:row>1</xdr:row>
      <xdr:rowOff>218880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41868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418680</xdr:colOff>
      <xdr:row>2</xdr:row>
      <xdr:rowOff>18720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41868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418680</xdr:colOff>
      <xdr:row>2</xdr:row>
      <xdr:rowOff>18720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41868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0"/>
  </cols>
  <sheetData>
    <row r="1" customFormat="false" ht="27.75" hidden="false" customHeight="true" outlineLevel="0" collapsed="false">
      <c r="B1" s="1" t="s">
        <v>0</v>
      </c>
    </row>
    <row r="2" customFormat="false" ht="19.5" hidden="false" customHeight="true" outlineLevel="0" collapsed="false">
      <c r="B2" s="2" t="s">
        <v>1</v>
      </c>
    </row>
    <row r="3" customFormat="false" ht="19.5" hidden="false" customHeight="true" outlineLevel="0" collapsed="false">
      <c r="B3" s="3" t="s">
        <v>2</v>
      </c>
    </row>
    <row r="5" customFormat="false" ht="19.5" hidden="false" customHeight="true" outlineLevel="0" collapsed="false">
      <c r="B5" s="4" t="s">
        <v>3</v>
      </c>
    </row>
    <row r="6" customFormat="false" ht="25.35" hidden="false" customHeight="false" outlineLevel="0" collapsed="false">
      <c r="B6" s="5" t="s">
        <v>4</v>
      </c>
    </row>
    <row r="7" customFormat="false" ht="19.5" hidden="false" customHeight="true" outlineLevel="0" collapsed="false">
      <c r="B7" s="4" t="s">
        <v>5</v>
      </c>
    </row>
    <row r="8" customFormat="false" ht="25.35" hidden="false" customHeight="false" outlineLevel="0" collapsed="false">
      <c r="B8" s="5" t="s">
        <v>6</v>
      </c>
    </row>
    <row r="9" customFormat="false" ht="25.35" hidden="false" customHeight="false" outlineLevel="0" collapsed="false">
      <c r="B9" s="5" t="s">
        <v>7</v>
      </c>
    </row>
    <row r="10" customFormat="false" ht="25.35" hidden="false" customHeight="false" outlineLevel="0" collapsed="false">
      <c r="B10" s="5" t="s">
        <v>8</v>
      </c>
    </row>
    <row r="11" customFormat="false" ht="37.3" hidden="false" customHeight="false" outlineLevel="0" collapsed="false">
      <c r="B11" s="5" t="s">
        <v>9</v>
      </c>
    </row>
    <row r="12" customFormat="false" ht="25.35" hidden="false" customHeight="false" outlineLevel="0" collapsed="false">
      <c r="B12" s="5" t="s">
        <v>10</v>
      </c>
    </row>
    <row r="13" customFormat="false" ht="25.35" hidden="false" customHeight="false" outlineLevel="0" collapsed="false">
      <c r="B13" s="5" t="s">
        <v>11</v>
      </c>
    </row>
    <row r="14" customFormat="false" ht="25.35" hidden="false" customHeight="false" outlineLevel="0" collapsed="false">
      <c r="B14" s="5" t="s">
        <v>12</v>
      </c>
    </row>
    <row r="15" customFormat="false" ht="25.35" hidden="false" customHeight="false" outlineLevel="0" collapsed="false">
      <c r="B15" s="5" t="s">
        <v>13</v>
      </c>
    </row>
    <row r="16" customFormat="false" ht="19.5" hidden="false" customHeight="true" outlineLevel="0" collapsed="false">
      <c r="B16" s="4" t="s">
        <v>14</v>
      </c>
    </row>
    <row r="17" customFormat="false" ht="15" hidden="false" customHeight="false" outlineLevel="0" collapsed="false">
      <c r="B17" s="5" t="s">
        <v>15</v>
      </c>
    </row>
    <row r="18" customFormat="false" ht="25.35" hidden="false" customHeight="false" outlineLevel="0" collapsed="false">
      <c r="B18" s="5" t="s">
        <v>16</v>
      </c>
    </row>
    <row r="19" customFormat="false" ht="15" hidden="false" customHeight="false" outlineLevel="0" collapsed="false">
      <c r="B19" s="5" t="s">
        <v>17</v>
      </c>
    </row>
    <row r="20" customFormat="false" ht="19.5" hidden="false" customHeight="true" outlineLevel="0" collapsed="false">
      <c r="B20" s="4" t="s">
        <v>18</v>
      </c>
    </row>
    <row r="21" customFormat="false" ht="25.35" hidden="false" customHeight="false" outlineLevel="0" collapsed="false">
      <c r="B21" s="5" t="s">
        <v>19</v>
      </c>
    </row>
    <row r="22" customFormat="false" ht="19.5" hidden="false" customHeight="true" outlineLevel="0" collapsed="false">
      <c r="B22" s="4" t="s">
        <v>20</v>
      </c>
    </row>
    <row r="23" customFormat="false" ht="25.35" hidden="false" customHeight="false" outlineLevel="0" collapsed="false">
      <c r="B23" s="5" t="s">
        <v>21</v>
      </c>
    </row>
    <row r="24" customFormat="false" ht="19.5" hidden="false" customHeight="true" outlineLevel="0" collapsed="false">
      <c r="B24" s="4" t="s">
        <v>22</v>
      </c>
    </row>
    <row r="25" customFormat="false" ht="25.35" hidden="false" customHeight="false" outlineLevel="0" collapsed="false">
      <c r="B25" s="5" t="s">
        <v>23</v>
      </c>
    </row>
    <row r="26" customFormat="false" ht="19.5" hidden="false" customHeight="true" outlineLevel="0" collapsed="false">
      <c r="B26" s="4" t="s">
        <v>24</v>
      </c>
    </row>
    <row r="27" customFormat="false" ht="25.35" hidden="false" customHeight="false" outlineLevel="0" collapsed="false">
      <c r="B27" s="5" t="s">
        <v>25</v>
      </c>
    </row>
    <row r="29" customFormat="false" ht="15" hidden="false" customHeight="false" outlineLevel="0" collapsed="false">
      <c r="B29" s="6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4" min="4" style="0" width="36"/>
    <col collapsed="false" customWidth="true" hidden="false" outlineLevel="0" max="5" min="5" style="0" width="8"/>
    <col collapsed="false" customWidth="true" hidden="false" outlineLevel="0" max="6" min="6" style="0" width="34"/>
    <col collapsed="false" customWidth="true" hidden="false" outlineLevel="0" max="7" min="7" style="0" width="52"/>
    <col collapsed="false" customWidth="true" hidden="false" outlineLevel="0" max="8" min="8" style="0" width="13"/>
    <col collapsed="false" customWidth="true" hidden="true" outlineLevel="0" max="9" min="9" style="0" width="4"/>
  </cols>
  <sheetData>
    <row r="1" customFormat="false" ht="25.5" hidden="false" customHeight="true" outlineLevel="0" collapsed="false">
      <c r="A1" s="7"/>
      <c r="B1" s="7"/>
      <c r="C1" s="8" t="s">
        <v>0</v>
      </c>
      <c r="D1" s="7"/>
      <c r="E1" s="7"/>
      <c r="F1" s="7"/>
      <c r="G1" s="7"/>
      <c r="H1" s="7"/>
    </row>
    <row r="2" customFormat="false" ht="18" hidden="false" customHeight="true" outlineLevel="0" collapsed="false">
      <c r="A2" s="7"/>
      <c r="B2" s="7"/>
      <c r="C2" s="9" t="s">
        <v>27</v>
      </c>
      <c r="D2" s="7"/>
      <c r="E2" s="7"/>
      <c r="F2" s="7"/>
      <c r="G2" s="7"/>
      <c r="H2" s="7"/>
    </row>
    <row r="3" customFormat="false" ht="18" hidden="false" customHeight="true" outlineLevel="0" collapsed="false">
      <c r="A3" s="7"/>
      <c r="B3" s="7"/>
      <c r="C3" s="10" t="s">
        <v>28</v>
      </c>
      <c r="D3" s="7"/>
      <c r="E3" s="7"/>
      <c r="F3" s="7"/>
      <c r="G3" s="7"/>
      <c r="H3" s="7"/>
    </row>
    <row r="4" customFormat="false" ht="3.75" hidden="false" customHeight="true" outlineLevel="0" collapsed="false">
      <c r="A4" s="11"/>
      <c r="B4" s="11"/>
      <c r="C4" s="11"/>
      <c r="D4" s="11"/>
      <c r="E4" s="11"/>
      <c r="F4" s="11"/>
      <c r="G4" s="11"/>
      <c r="H4" s="11"/>
    </row>
    <row r="5" customFormat="false" ht="21.75" hidden="false" customHeight="true" outlineLevel="0" collapsed="false">
      <c r="C5" s="12" t="str">
        <f aca="false">"Dati obbligatori mancanti: "&amp;Controlli_1!$B$13&amp;"   –   dati dichiarati «non noti»: "&amp;Controlli_1!$B$14&amp;"   –   campi richiesti per questo procedimento: "&amp;Controlli_1!$B$11</f>
        <v>Dati obbligatori mancanti: 0   –   dati dichiarati «non noti»: 0   –   campi richiesti per questo procedimento: 41</v>
      </c>
      <c r="D5" s="12"/>
      <c r="E5" s="12"/>
      <c r="F5" s="12"/>
      <c r="G5" s="12"/>
    </row>
    <row r="6" customFormat="false" ht="21.75" hidden="false" customHeight="true" outlineLevel="0" collapsed="false">
      <c r="A6" s="13" t="s">
        <v>29</v>
      </c>
      <c r="B6" s="13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13" t="s">
        <v>35</v>
      </c>
      <c r="H6" s="13" t="s">
        <v>36</v>
      </c>
    </row>
    <row r="7" customFormat="false" ht="19.5" hidden="false" customHeight="true" outlineLevel="0" collapsed="false">
      <c r="A7" s="14" t="s">
        <v>37</v>
      </c>
      <c r="B7" s="14"/>
      <c r="C7" s="14"/>
      <c r="D7" s="14"/>
      <c r="E7" s="14"/>
      <c r="F7" s="14"/>
      <c r="G7" s="14"/>
      <c r="H7" s="14"/>
    </row>
    <row r="8" customFormat="false" ht="15" hidden="false" customHeight="false" outlineLevel="0" collapsed="false">
      <c r="A8" s="15" t="s">
        <v>38</v>
      </c>
      <c r="B8" s="15"/>
      <c r="C8" s="15"/>
      <c r="D8" s="15"/>
      <c r="E8" s="15"/>
      <c r="F8" s="15"/>
      <c r="G8" s="15"/>
      <c r="H8" s="15"/>
    </row>
    <row r="9" customFormat="false" ht="15" hidden="false" customHeight="false" outlineLevel="0" collapsed="false">
      <c r="A9" s="16" t="s">
        <v>39</v>
      </c>
      <c r="B9" s="16" t="s">
        <v>40</v>
      </c>
      <c r="C9" s="5" t="s">
        <v>41</v>
      </c>
      <c r="D9" s="17" t="s">
        <v>42</v>
      </c>
      <c r="E9" s="16"/>
      <c r="F9" s="18" t="s">
        <v>43</v>
      </c>
      <c r="G9" s="18" t="s">
        <v>44</v>
      </c>
      <c r="H9" s="19" t="str">
        <f aca="false">Controlli_1!$L$33</f>
        <v/>
      </c>
    </row>
    <row r="10" customFormat="false" ht="23.85" hidden="false" customHeight="false" outlineLevel="0" collapsed="false">
      <c r="A10" s="16" t="s">
        <v>45</v>
      </c>
      <c r="B10" s="16" t="s">
        <v>40</v>
      </c>
      <c r="C10" s="5" t="s">
        <v>46</v>
      </c>
      <c r="D10" s="17" t="s">
        <v>47</v>
      </c>
      <c r="E10" s="16"/>
      <c r="F10" s="18" t="s">
        <v>43</v>
      </c>
      <c r="G10" s="18" t="s">
        <v>48</v>
      </c>
      <c r="H10" s="19" t="str">
        <f aca="false">Controlli_1!$L$34</f>
        <v/>
      </c>
    </row>
    <row r="11" customFormat="false" ht="25.35" hidden="false" customHeight="false" outlineLevel="0" collapsed="false">
      <c r="A11" s="16" t="s">
        <v>49</v>
      </c>
      <c r="B11" s="16" t="s">
        <v>40</v>
      </c>
      <c r="C11" s="5" t="s">
        <v>50</v>
      </c>
      <c r="D11" s="17" t="s">
        <v>51</v>
      </c>
      <c r="E11" s="16"/>
      <c r="F11" s="18" t="s">
        <v>43</v>
      </c>
      <c r="G11" s="18" t="s">
        <v>52</v>
      </c>
      <c r="H11" s="19" t="str">
        <f aca="false">Controlli_1!$L$35</f>
        <v/>
      </c>
    </row>
    <row r="12" customFormat="false" ht="25.35" hidden="false" customHeight="false" outlineLevel="0" collapsed="false">
      <c r="A12" s="16" t="s">
        <v>53</v>
      </c>
      <c r="B12" s="16" t="s">
        <v>40</v>
      </c>
      <c r="C12" s="5" t="s">
        <v>54</v>
      </c>
      <c r="D12" s="17" t="s">
        <v>55</v>
      </c>
      <c r="E12" s="16"/>
      <c r="F12" s="18" t="s">
        <v>43</v>
      </c>
      <c r="G12" s="18" t="s">
        <v>56</v>
      </c>
      <c r="H12" s="19" t="str">
        <f aca="false">Controlli_1!$L$36</f>
        <v/>
      </c>
    </row>
    <row r="13" customFormat="false" ht="15" hidden="false" customHeight="false" outlineLevel="0" collapsed="false">
      <c r="A13" s="16" t="s">
        <v>57</v>
      </c>
      <c r="B13" s="16" t="s">
        <v>40</v>
      </c>
      <c r="C13" s="5" t="s">
        <v>58</v>
      </c>
      <c r="D13" s="17" t="s">
        <v>59</v>
      </c>
      <c r="E13" s="16"/>
      <c r="F13" s="18" t="s">
        <v>43</v>
      </c>
      <c r="G13" s="18" t="s">
        <v>60</v>
      </c>
      <c r="H13" s="19" t="str">
        <f aca="false">Controlli_1!$L$37</f>
        <v/>
      </c>
    </row>
    <row r="14" customFormat="false" ht="15" hidden="false" customHeight="false" outlineLevel="0" collapsed="false">
      <c r="A14" s="16" t="s">
        <v>61</v>
      </c>
      <c r="B14" s="16" t="s">
        <v>40</v>
      </c>
      <c r="C14" s="5" t="s">
        <v>62</v>
      </c>
      <c r="D14" s="17" t="s">
        <v>63</v>
      </c>
      <c r="E14" s="16"/>
      <c r="F14" s="18" t="s">
        <v>43</v>
      </c>
      <c r="G14" s="18" t="s">
        <v>64</v>
      </c>
      <c r="H14" s="19" t="str">
        <f aca="false">Controlli_1!$L$38</f>
        <v/>
      </c>
    </row>
    <row r="15" customFormat="false" ht="15" hidden="false" customHeight="false" outlineLevel="0" collapsed="false">
      <c r="A15" s="16" t="s">
        <v>65</v>
      </c>
      <c r="B15" s="16" t="s">
        <v>40</v>
      </c>
      <c r="C15" s="5" t="s">
        <v>66</v>
      </c>
      <c r="D15" s="17" t="s">
        <v>67</v>
      </c>
      <c r="E15" s="16"/>
      <c r="F15" s="18" t="s">
        <v>43</v>
      </c>
      <c r="G15" s="18" t="s">
        <v>68</v>
      </c>
      <c r="H15" s="19" t="str">
        <f aca="false">Controlli_1!$L$39</f>
        <v/>
      </c>
    </row>
    <row r="16" customFormat="false" ht="19.5" hidden="false" customHeight="true" outlineLevel="0" collapsed="false">
      <c r="A16" s="14" t="s">
        <v>69</v>
      </c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15" t="s">
        <v>70</v>
      </c>
      <c r="B17" s="15"/>
      <c r="C17" s="15"/>
      <c r="D17" s="15"/>
      <c r="E17" s="15"/>
      <c r="F17" s="15"/>
      <c r="G17" s="15"/>
      <c r="H17" s="15"/>
    </row>
    <row r="18" customFormat="false" ht="25.35" hidden="false" customHeight="false" outlineLevel="0" collapsed="false">
      <c r="A18" s="16" t="s">
        <v>71</v>
      </c>
      <c r="B18" s="16" t="s">
        <v>72</v>
      </c>
      <c r="C18" s="20" t="s">
        <v>73</v>
      </c>
      <c r="D18" s="21" t="s">
        <v>74</v>
      </c>
      <c r="E18" s="16"/>
      <c r="F18" s="18" t="s">
        <v>75</v>
      </c>
      <c r="G18" s="18" t="s">
        <v>76</v>
      </c>
      <c r="H18" s="19" t="str">
        <f aca="false">Controlli_1!$L$40</f>
        <v>ok</v>
      </c>
      <c r="I18" s="0" t="n">
        <v>1</v>
      </c>
    </row>
    <row r="19" customFormat="false" ht="15" hidden="false" customHeight="false" outlineLevel="0" collapsed="false">
      <c r="A19" s="16" t="s">
        <v>77</v>
      </c>
      <c r="B19" s="16" t="s">
        <v>72</v>
      </c>
      <c r="C19" s="20" t="s">
        <v>78</v>
      </c>
      <c r="D19" s="21" t="s">
        <v>79</v>
      </c>
      <c r="E19" s="16"/>
      <c r="F19" s="18" t="s">
        <v>75</v>
      </c>
      <c r="G19" s="18" t="s">
        <v>80</v>
      </c>
      <c r="H19" s="19" t="str">
        <f aca="false">Controlli_1!$L$41</f>
        <v>ok</v>
      </c>
      <c r="I19" s="0" t="n">
        <v>1</v>
      </c>
    </row>
    <row r="20" customFormat="false" ht="23.85" hidden="false" customHeight="false" outlineLevel="0" collapsed="false">
      <c r="A20" s="16" t="s">
        <v>81</v>
      </c>
      <c r="B20" s="16" t="s">
        <v>72</v>
      </c>
      <c r="C20" s="5" t="s">
        <v>82</v>
      </c>
      <c r="D20" s="21" t="s">
        <v>83</v>
      </c>
      <c r="E20" s="16"/>
      <c r="F20" s="18" t="s">
        <v>84</v>
      </c>
      <c r="G20" s="18" t="s">
        <v>85</v>
      </c>
      <c r="H20" s="19" t="str">
        <f aca="false">Controlli_1!$L$42</f>
        <v>ok</v>
      </c>
      <c r="I20" s="0" t="n">
        <v>1</v>
      </c>
    </row>
    <row r="21" customFormat="false" ht="61.15" hidden="false" customHeight="false" outlineLevel="0" collapsed="false">
      <c r="A21" s="16" t="s">
        <v>86</v>
      </c>
      <c r="B21" s="16" t="s">
        <v>72</v>
      </c>
      <c r="C21" s="5" t="s">
        <v>87</v>
      </c>
      <c r="D21" s="21" t="s">
        <v>88</v>
      </c>
      <c r="E21" s="16"/>
      <c r="F21" s="18" t="s">
        <v>89</v>
      </c>
      <c r="G21" s="18" t="s">
        <v>90</v>
      </c>
      <c r="H21" s="19" t="str">
        <f aca="false">Controlli_1!$L$43</f>
        <v>ok</v>
      </c>
      <c r="I21" s="0" t="n">
        <v>1</v>
      </c>
    </row>
    <row r="22" customFormat="false" ht="23.85" hidden="false" customHeight="false" outlineLevel="0" collapsed="false">
      <c r="A22" s="16" t="s">
        <v>91</v>
      </c>
      <c r="B22" s="16" t="s">
        <v>72</v>
      </c>
      <c r="C22" s="5" t="s">
        <v>92</v>
      </c>
      <c r="D22" s="22" t="n">
        <v>46279</v>
      </c>
      <c r="E22" s="16"/>
      <c r="F22" s="18" t="s">
        <v>75</v>
      </c>
      <c r="G22" s="18" t="s">
        <v>93</v>
      </c>
      <c r="H22" s="19" t="str">
        <f aca="false">Controlli_1!$L$44</f>
        <v>ok</v>
      </c>
      <c r="I22" s="0" t="n">
        <v>1</v>
      </c>
    </row>
    <row r="23" customFormat="false" ht="15" hidden="false" customHeight="false" outlineLevel="0" collapsed="false">
      <c r="A23" s="16" t="s">
        <v>94</v>
      </c>
      <c r="B23" s="16" t="s">
        <v>72</v>
      </c>
      <c r="C23" s="5" t="s">
        <v>95</v>
      </c>
      <c r="D23" s="22"/>
      <c r="E23" s="16"/>
      <c r="F23" s="18" t="s">
        <v>96</v>
      </c>
      <c r="G23" s="18" t="s">
        <v>97</v>
      </c>
      <c r="H23" s="19" t="str">
        <f aca="false">Controlli_1!$L$45</f>
        <v/>
      </c>
      <c r="I23" s="0" t="n">
        <v>1</v>
      </c>
    </row>
    <row r="24" customFormat="false" ht="19.5" hidden="false" customHeight="true" outlineLevel="0" collapsed="false">
      <c r="A24" s="14" t="s">
        <v>98</v>
      </c>
      <c r="B24" s="14"/>
      <c r="C24" s="14"/>
      <c r="D24" s="14"/>
      <c r="E24" s="14"/>
      <c r="F24" s="14"/>
      <c r="G24" s="14"/>
      <c r="H24" s="14"/>
    </row>
    <row r="25" customFormat="false" ht="15" hidden="false" customHeight="false" outlineLevel="0" collapsed="false">
      <c r="A25" s="15" t="s">
        <v>99</v>
      </c>
      <c r="B25" s="15"/>
      <c r="C25" s="15"/>
      <c r="D25" s="15"/>
      <c r="E25" s="15"/>
      <c r="F25" s="15"/>
      <c r="G25" s="15"/>
      <c r="H25" s="15"/>
    </row>
    <row r="26" customFormat="false" ht="15" hidden="false" customHeight="false" outlineLevel="0" collapsed="false">
      <c r="A26" s="16" t="s">
        <v>100</v>
      </c>
      <c r="B26" s="16" t="s">
        <v>101</v>
      </c>
      <c r="C26" s="5" t="s">
        <v>102</v>
      </c>
      <c r="D26" s="21" t="s">
        <v>103</v>
      </c>
      <c r="E26" s="16"/>
      <c r="F26" s="18" t="s">
        <v>89</v>
      </c>
      <c r="G26" s="18" t="s">
        <v>104</v>
      </c>
      <c r="H26" s="19" t="str">
        <f aca="false">Controlli_1!$L$46</f>
        <v>ok</v>
      </c>
      <c r="I26" s="0" t="n">
        <v>1</v>
      </c>
    </row>
    <row r="27" customFormat="false" ht="23.85" hidden="false" customHeight="false" outlineLevel="0" collapsed="false">
      <c r="A27" s="16" t="s">
        <v>105</v>
      </c>
      <c r="B27" s="16" t="s">
        <v>101</v>
      </c>
      <c r="C27" s="5" t="s">
        <v>106</v>
      </c>
      <c r="D27" s="17" t="str">
        <f aca="false">IFERROR(VLOOKUP(Scheda_1!$D$26,Elenchi!$J$2:$N$40,3,FALSE())&amp;"","")</f>
        <v>B</v>
      </c>
      <c r="E27" s="16"/>
      <c r="F27" s="18" t="s">
        <v>43</v>
      </c>
      <c r="G27" s="18" t="s">
        <v>107</v>
      </c>
      <c r="H27" s="19" t="str">
        <f aca="false">Controlli_1!$L$47</f>
        <v/>
      </c>
      <c r="I27" s="0" t="n">
        <v>1</v>
      </c>
    </row>
    <row r="28" customFormat="false" ht="15" hidden="false" customHeight="false" outlineLevel="0" collapsed="false">
      <c r="A28" s="16" t="s">
        <v>108</v>
      </c>
      <c r="B28" s="16" t="s">
        <v>101</v>
      </c>
      <c r="C28" s="5" t="s">
        <v>109</v>
      </c>
      <c r="D28" s="21"/>
      <c r="E28" s="16"/>
      <c r="F28" s="18" t="s">
        <v>110</v>
      </c>
      <c r="G28" s="18" t="s">
        <v>111</v>
      </c>
      <c r="H28" s="19" t="str">
        <f aca="false">Controlli_1!$L$48</f>
        <v/>
      </c>
      <c r="I28" s="0" t="n">
        <v>1</v>
      </c>
    </row>
    <row r="29" customFormat="false" ht="23.85" hidden="false" customHeight="false" outlineLevel="0" collapsed="false">
      <c r="A29" s="16" t="s">
        <v>112</v>
      </c>
      <c r="B29" s="16" t="s">
        <v>101</v>
      </c>
      <c r="C29" s="5" t="s">
        <v>113</v>
      </c>
      <c r="D29" s="17" t="str">
        <f aca="false">IF(Scheda_1!$D$28&lt;&gt;"",Scheda_1!$D$28,Scheda_1!$D$27)</f>
        <v>B</v>
      </c>
      <c r="E29" s="16"/>
      <c r="F29" s="18" t="s">
        <v>43</v>
      </c>
      <c r="G29" s="18" t="s">
        <v>114</v>
      </c>
      <c r="H29" s="19" t="str">
        <f aca="false">Controlli_1!$L$49</f>
        <v/>
      </c>
      <c r="I29" s="0" t="n">
        <v>1</v>
      </c>
    </row>
    <row r="30" customFormat="false" ht="15" hidden="false" customHeight="false" outlineLevel="0" collapsed="false">
      <c r="A30" s="16" t="s">
        <v>115</v>
      </c>
      <c r="B30" s="16" t="s">
        <v>101</v>
      </c>
      <c r="C30" s="5" t="s">
        <v>116</v>
      </c>
      <c r="D30" s="21" t="s">
        <v>117</v>
      </c>
      <c r="E30" s="16"/>
      <c r="F30" s="18" t="s">
        <v>89</v>
      </c>
      <c r="G30" s="18" t="s">
        <v>118</v>
      </c>
      <c r="H30" s="19" t="str">
        <f aca="false">Controlli_1!$L$50</f>
        <v>ok</v>
      </c>
      <c r="I30" s="0" t="n">
        <v>1</v>
      </c>
    </row>
    <row r="31" customFormat="false" ht="15" hidden="false" customHeight="false" outlineLevel="0" collapsed="false">
      <c r="A31" s="16" t="s">
        <v>119</v>
      </c>
      <c r="B31" s="16" t="s">
        <v>101</v>
      </c>
      <c r="C31" s="5" t="s">
        <v>120</v>
      </c>
      <c r="D31" s="21" t="s">
        <v>121</v>
      </c>
      <c r="E31" s="16"/>
      <c r="F31" s="18" t="s">
        <v>89</v>
      </c>
      <c r="G31" s="18" t="s">
        <v>122</v>
      </c>
      <c r="H31" s="19" t="str">
        <f aca="false">Controlli_1!$L$51</f>
        <v>ok</v>
      </c>
      <c r="I31" s="0" t="n">
        <v>1</v>
      </c>
    </row>
    <row r="32" customFormat="false" ht="15" hidden="false" customHeight="false" outlineLevel="0" collapsed="false">
      <c r="A32" s="16" t="s">
        <v>123</v>
      </c>
      <c r="B32" s="16" t="s">
        <v>101</v>
      </c>
      <c r="C32" s="5" t="s">
        <v>124</v>
      </c>
      <c r="D32" s="21" t="s">
        <v>125</v>
      </c>
      <c r="E32" s="16"/>
      <c r="F32" s="18" t="s">
        <v>89</v>
      </c>
      <c r="G32" s="18" t="s">
        <v>126</v>
      </c>
      <c r="H32" s="19" t="str">
        <f aca="false">Controlli_1!$L$52</f>
        <v>ok</v>
      </c>
      <c r="I32" s="0" t="n">
        <v>1</v>
      </c>
    </row>
    <row r="33" customFormat="false" ht="15" hidden="false" customHeight="false" outlineLevel="0" collapsed="false">
      <c r="A33" s="16" t="s">
        <v>127</v>
      </c>
      <c r="B33" s="16" t="s">
        <v>101</v>
      </c>
      <c r="C33" s="5" t="s">
        <v>128</v>
      </c>
      <c r="D33" s="21" t="s">
        <v>125</v>
      </c>
      <c r="E33" s="16"/>
      <c r="F33" s="18" t="s">
        <v>89</v>
      </c>
      <c r="G33" s="18" t="s">
        <v>126</v>
      </c>
      <c r="H33" s="19" t="str">
        <f aca="false">Controlli_1!$L$53</f>
        <v>ok</v>
      </c>
      <c r="I33" s="0" t="n">
        <v>1</v>
      </c>
    </row>
    <row r="34" customFormat="false" ht="15" hidden="false" customHeight="false" outlineLevel="0" collapsed="false">
      <c r="A34" s="16" t="s">
        <v>129</v>
      </c>
      <c r="B34" s="16" t="s">
        <v>101</v>
      </c>
      <c r="C34" s="5" t="s">
        <v>130</v>
      </c>
      <c r="D34" s="21" t="s">
        <v>125</v>
      </c>
      <c r="E34" s="16"/>
      <c r="F34" s="18" t="s">
        <v>89</v>
      </c>
      <c r="G34" s="18" t="s">
        <v>126</v>
      </c>
      <c r="H34" s="19" t="str">
        <f aca="false">Controlli_1!$L$54</f>
        <v>ok</v>
      </c>
      <c r="I34" s="0" t="n">
        <v>1</v>
      </c>
    </row>
    <row r="35" customFormat="false" ht="25.35" hidden="false" customHeight="false" outlineLevel="0" collapsed="false">
      <c r="A35" s="16" t="s">
        <v>131</v>
      </c>
      <c r="B35" s="16" t="s">
        <v>101</v>
      </c>
      <c r="C35" s="5" t="s">
        <v>132</v>
      </c>
      <c r="D35" s="21" t="s">
        <v>125</v>
      </c>
      <c r="E35" s="16"/>
      <c r="F35" s="18" t="s">
        <v>89</v>
      </c>
      <c r="G35" s="18" t="s">
        <v>133</v>
      </c>
      <c r="H35" s="19" t="str">
        <f aca="false">Controlli_1!$L$55</f>
        <v>ok</v>
      </c>
      <c r="I35" s="0" t="n">
        <v>1</v>
      </c>
    </row>
    <row r="36" customFormat="false" ht="23.85" hidden="false" customHeight="false" outlineLevel="0" collapsed="false">
      <c r="A36" s="16" t="s">
        <v>134</v>
      </c>
      <c r="B36" s="16" t="s">
        <v>101</v>
      </c>
      <c r="C36" s="5" t="s">
        <v>135</v>
      </c>
      <c r="D36" s="21"/>
      <c r="E36" s="16"/>
      <c r="F36" s="18" t="s">
        <v>136</v>
      </c>
      <c r="G36" s="18" t="s">
        <v>137</v>
      </c>
      <c r="H36" s="19" t="str">
        <f aca="false">Controlli_1!$L$56</f>
        <v/>
      </c>
      <c r="I36" s="0" t="n">
        <v>1</v>
      </c>
    </row>
    <row r="37" customFormat="false" ht="23.85" hidden="false" customHeight="false" outlineLevel="0" collapsed="false">
      <c r="A37" s="16" t="s">
        <v>138</v>
      </c>
      <c r="B37" s="16" t="s">
        <v>101</v>
      </c>
      <c r="C37" s="5" t="s">
        <v>139</v>
      </c>
      <c r="D37" s="21"/>
      <c r="E37" s="16" t="s">
        <v>140</v>
      </c>
      <c r="F37" s="18" t="s">
        <v>141</v>
      </c>
      <c r="G37" s="18" t="s">
        <v>142</v>
      </c>
      <c r="H37" s="19" t="str">
        <f aca="false">Controlli_1!$L$57</f>
        <v/>
      </c>
      <c r="I37" s="0" t="n">
        <v>1</v>
      </c>
    </row>
    <row r="38" customFormat="false" ht="25.35" hidden="false" customHeight="false" outlineLevel="0" collapsed="false">
      <c r="A38" s="16" t="s">
        <v>143</v>
      </c>
      <c r="B38" s="16" t="s">
        <v>101</v>
      </c>
      <c r="C38" s="5" t="s">
        <v>144</v>
      </c>
      <c r="D38" s="21" t="s">
        <v>125</v>
      </c>
      <c r="E38" s="16"/>
      <c r="F38" s="18" t="s">
        <v>89</v>
      </c>
      <c r="G38" s="18" t="s">
        <v>145</v>
      </c>
      <c r="H38" s="19" t="str">
        <f aca="false">Controlli_1!$L$58</f>
        <v>ok</v>
      </c>
      <c r="I38" s="0" t="n">
        <v>1</v>
      </c>
    </row>
    <row r="39" customFormat="false" ht="25.35" hidden="false" customHeight="false" outlineLevel="0" collapsed="false">
      <c r="A39" s="16" t="s">
        <v>146</v>
      </c>
      <c r="B39" s="16" t="s">
        <v>101</v>
      </c>
      <c r="C39" s="5" t="s">
        <v>147</v>
      </c>
      <c r="D39" s="22"/>
      <c r="E39" s="16"/>
      <c r="F39" s="18" t="s">
        <v>148</v>
      </c>
      <c r="G39" s="18" t="s">
        <v>149</v>
      </c>
      <c r="H39" s="19" t="str">
        <f aca="false">Controlli_1!$L$59</f>
        <v/>
      </c>
      <c r="I39" s="0" t="n">
        <v>1</v>
      </c>
    </row>
    <row r="40" customFormat="false" ht="25.35" hidden="false" customHeight="false" outlineLevel="0" collapsed="false">
      <c r="A40" s="16" t="s">
        <v>150</v>
      </c>
      <c r="B40" s="16" t="s">
        <v>101</v>
      </c>
      <c r="C40" s="5" t="s">
        <v>151</v>
      </c>
      <c r="D40" s="21"/>
      <c r="E40" s="16"/>
      <c r="F40" s="18" t="s">
        <v>148</v>
      </c>
      <c r="G40" s="18" t="s">
        <v>152</v>
      </c>
      <c r="H40" s="19" t="str">
        <f aca="false">Controlli_1!$L$60</f>
        <v/>
      </c>
      <c r="I40" s="0" t="n">
        <v>1</v>
      </c>
    </row>
    <row r="41" customFormat="false" ht="25.35" hidden="false" customHeight="false" outlineLevel="0" collapsed="false">
      <c r="A41" s="16" t="s">
        <v>153</v>
      </c>
      <c r="B41" s="16" t="s">
        <v>101</v>
      </c>
      <c r="C41" s="5" t="s">
        <v>154</v>
      </c>
      <c r="D41" s="21"/>
      <c r="E41" s="16"/>
      <c r="F41" s="18" t="s">
        <v>148</v>
      </c>
      <c r="G41" s="18" t="s">
        <v>152</v>
      </c>
      <c r="H41" s="19" t="str">
        <f aca="false">Controlli_1!$L$61</f>
        <v/>
      </c>
      <c r="I41" s="0" t="n">
        <v>1</v>
      </c>
    </row>
    <row r="42" customFormat="false" ht="15" hidden="false" customHeight="false" outlineLevel="0" collapsed="false">
      <c r="A42" s="16" t="s">
        <v>155</v>
      </c>
      <c r="B42" s="16" t="s">
        <v>101</v>
      </c>
      <c r="C42" s="5" t="s">
        <v>156</v>
      </c>
      <c r="D42" s="21" t="s">
        <v>157</v>
      </c>
      <c r="E42" s="16"/>
      <c r="F42" s="18" t="s">
        <v>84</v>
      </c>
      <c r="G42" s="18" t="s">
        <v>158</v>
      </c>
      <c r="H42" s="19" t="str">
        <f aca="false">Controlli_1!$L$62</f>
        <v>ok</v>
      </c>
      <c r="I42" s="0" t="n">
        <v>1</v>
      </c>
    </row>
    <row r="43" customFormat="false" ht="23.85" hidden="false" customHeight="false" outlineLevel="0" collapsed="false">
      <c r="A43" s="16" t="s">
        <v>159</v>
      </c>
      <c r="B43" s="16" t="s">
        <v>101</v>
      </c>
      <c r="C43" s="5" t="s">
        <v>160</v>
      </c>
      <c r="D43" s="21"/>
      <c r="E43" s="16"/>
      <c r="F43" s="18" t="s">
        <v>161</v>
      </c>
      <c r="G43" s="18" t="s">
        <v>162</v>
      </c>
      <c r="H43" s="19" t="str">
        <f aca="false">Controlli_1!$L$63</f>
        <v/>
      </c>
      <c r="I43" s="0" t="n">
        <v>1</v>
      </c>
    </row>
    <row r="44" customFormat="false" ht="19.5" hidden="false" customHeight="true" outlineLevel="0" collapsed="false">
      <c r="A44" s="14" t="s">
        <v>163</v>
      </c>
      <c r="B44" s="14"/>
      <c r="C44" s="14"/>
      <c r="D44" s="14"/>
      <c r="E44" s="14"/>
      <c r="F44" s="14"/>
      <c r="G44" s="14"/>
      <c r="H44" s="14"/>
    </row>
    <row r="45" customFormat="false" ht="15" hidden="false" customHeight="false" outlineLevel="0" collapsed="false">
      <c r="A45" s="15" t="s">
        <v>164</v>
      </c>
      <c r="B45" s="15"/>
      <c r="C45" s="15"/>
      <c r="D45" s="15"/>
      <c r="E45" s="15"/>
      <c r="F45" s="15"/>
      <c r="G45" s="15"/>
      <c r="H45" s="15"/>
    </row>
    <row r="46" customFormat="false" ht="15" hidden="false" customHeight="false" outlineLevel="0" collapsed="false">
      <c r="A46" s="16" t="s">
        <v>165</v>
      </c>
      <c r="B46" s="16" t="s">
        <v>166</v>
      </c>
      <c r="C46" s="5" t="s">
        <v>167</v>
      </c>
      <c r="D46" s="21" t="s">
        <v>168</v>
      </c>
      <c r="E46" s="16"/>
      <c r="F46" s="18" t="s">
        <v>89</v>
      </c>
      <c r="G46" s="18" t="s">
        <v>169</v>
      </c>
      <c r="H46" s="19" t="str">
        <f aca="false">Controlli_1!$L$64</f>
        <v>ok</v>
      </c>
      <c r="I46" s="0" t="n">
        <v>1</v>
      </c>
    </row>
    <row r="47" customFormat="false" ht="15" hidden="false" customHeight="false" outlineLevel="0" collapsed="false">
      <c r="A47" s="16" t="s">
        <v>170</v>
      </c>
      <c r="B47" s="16" t="s">
        <v>166</v>
      </c>
      <c r="C47" s="5" t="s">
        <v>171</v>
      </c>
      <c r="D47" s="21" t="s">
        <v>168</v>
      </c>
      <c r="E47" s="16"/>
      <c r="F47" s="18" t="s">
        <v>89</v>
      </c>
      <c r="G47" s="18" t="s">
        <v>172</v>
      </c>
      <c r="H47" s="19" t="str">
        <f aca="false">Controlli_1!$L$65</f>
        <v>ok</v>
      </c>
      <c r="I47" s="0" t="n">
        <v>1</v>
      </c>
    </row>
    <row r="48" customFormat="false" ht="23.85" hidden="false" customHeight="false" outlineLevel="0" collapsed="false">
      <c r="A48" s="16" t="s">
        <v>173</v>
      </c>
      <c r="B48" s="16" t="s">
        <v>166</v>
      </c>
      <c r="C48" s="5" t="s">
        <v>174</v>
      </c>
      <c r="D48" s="21"/>
      <c r="E48" s="16"/>
      <c r="F48" s="18" t="s">
        <v>175</v>
      </c>
      <c r="G48" s="18" t="s">
        <v>176</v>
      </c>
      <c r="H48" s="19" t="str">
        <f aca="false">Controlli_1!$L$66</f>
        <v/>
      </c>
      <c r="I48" s="0" t="n">
        <v>1</v>
      </c>
    </row>
    <row r="49" customFormat="false" ht="23.85" hidden="false" customHeight="false" outlineLevel="0" collapsed="false">
      <c r="A49" s="16" t="s">
        <v>177</v>
      </c>
      <c r="B49" s="16" t="s">
        <v>166</v>
      </c>
      <c r="C49" s="5" t="s">
        <v>178</v>
      </c>
      <c r="D49" s="21"/>
      <c r="E49" s="16"/>
      <c r="F49" s="18" t="s">
        <v>179</v>
      </c>
      <c r="G49" s="18" t="s">
        <v>180</v>
      </c>
      <c r="H49" s="19" t="str">
        <f aca="false">Controlli_1!$L$67</f>
        <v/>
      </c>
      <c r="I49" s="0" t="n">
        <v>1</v>
      </c>
    </row>
    <row r="50" customFormat="false" ht="23.85" hidden="false" customHeight="false" outlineLevel="0" collapsed="false">
      <c r="A50" s="16" t="s">
        <v>181</v>
      </c>
      <c r="B50" s="16" t="s">
        <v>166</v>
      </c>
      <c r="C50" s="5" t="s">
        <v>182</v>
      </c>
      <c r="D50" s="21"/>
      <c r="E50" s="16" t="s">
        <v>140</v>
      </c>
      <c r="F50" s="18" t="s">
        <v>179</v>
      </c>
      <c r="G50" s="18" t="s">
        <v>180</v>
      </c>
      <c r="H50" s="19" t="str">
        <f aca="false">Controlli_1!$L$68</f>
        <v/>
      </c>
      <c r="I50" s="0" t="n">
        <v>1</v>
      </c>
    </row>
    <row r="51" customFormat="false" ht="25.35" hidden="false" customHeight="false" outlineLevel="0" collapsed="false">
      <c r="A51" s="16" t="s">
        <v>183</v>
      </c>
      <c r="B51" s="16" t="s">
        <v>166</v>
      </c>
      <c r="C51" s="5" t="s">
        <v>184</v>
      </c>
      <c r="D51" s="21"/>
      <c r="E51" s="16"/>
      <c r="F51" s="18" t="s">
        <v>179</v>
      </c>
      <c r="G51" s="18" t="s">
        <v>185</v>
      </c>
      <c r="H51" s="19" t="str">
        <f aca="false">Controlli_1!$L$69</f>
        <v/>
      </c>
      <c r="I51" s="0" t="n">
        <v>1</v>
      </c>
    </row>
    <row r="52" customFormat="false" ht="15" hidden="false" customHeight="false" outlineLevel="0" collapsed="false">
      <c r="A52" s="16" t="s">
        <v>186</v>
      </c>
      <c r="B52" s="16" t="s">
        <v>166</v>
      </c>
      <c r="C52" s="5" t="s">
        <v>187</v>
      </c>
      <c r="D52" s="21" t="s">
        <v>125</v>
      </c>
      <c r="E52" s="16"/>
      <c r="F52" s="18" t="s">
        <v>84</v>
      </c>
      <c r="G52" s="18" t="s">
        <v>188</v>
      </c>
      <c r="H52" s="19" t="str">
        <f aca="false">Controlli_1!$L$70</f>
        <v>ok</v>
      </c>
      <c r="I52" s="0" t="n">
        <v>1</v>
      </c>
    </row>
    <row r="53" customFormat="false" ht="23.85" hidden="false" customHeight="false" outlineLevel="0" collapsed="false">
      <c r="A53" s="16" t="s">
        <v>189</v>
      </c>
      <c r="B53" s="16" t="s">
        <v>166</v>
      </c>
      <c r="C53" s="5" t="s">
        <v>190</v>
      </c>
      <c r="D53" s="21"/>
      <c r="E53" s="16"/>
      <c r="F53" s="18" t="s">
        <v>191</v>
      </c>
      <c r="G53" s="18" t="s">
        <v>192</v>
      </c>
      <c r="H53" s="19" t="str">
        <f aca="false">Controlli_1!$L$71</f>
        <v/>
      </c>
      <c r="I53" s="0" t="n">
        <v>1</v>
      </c>
    </row>
    <row r="54" customFormat="false" ht="19.5" hidden="false" customHeight="true" outlineLevel="0" collapsed="false">
      <c r="A54" s="14" t="s">
        <v>193</v>
      </c>
      <c r="B54" s="14"/>
      <c r="C54" s="14"/>
      <c r="D54" s="14"/>
      <c r="E54" s="14"/>
      <c r="F54" s="14"/>
      <c r="G54" s="14"/>
      <c r="H54" s="14"/>
    </row>
    <row r="55" customFormat="false" ht="25.35" hidden="false" customHeight="false" outlineLevel="0" collapsed="false">
      <c r="A55" s="16" t="s">
        <v>194</v>
      </c>
      <c r="B55" s="16" t="s">
        <v>195</v>
      </c>
      <c r="C55" s="5" t="s">
        <v>196</v>
      </c>
      <c r="D55" s="21" t="s">
        <v>197</v>
      </c>
      <c r="E55" s="16"/>
      <c r="F55" s="18" t="s">
        <v>198</v>
      </c>
      <c r="G55" s="18" t="s">
        <v>199</v>
      </c>
      <c r="H55" s="19" t="str">
        <f aca="false">Controlli_1!$L$72</f>
        <v>ok</v>
      </c>
      <c r="I55" s="0" t="n">
        <v>1</v>
      </c>
    </row>
    <row r="56" customFormat="false" ht="23.85" hidden="false" customHeight="false" outlineLevel="0" collapsed="false">
      <c r="A56" s="16" t="s">
        <v>200</v>
      </c>
      <c r="B56" s="16" t="s">
        <v>195</v>
      </c>
      <c r="C56" s="5" t="s">
        <v>201</v>
      </c>
      <c r="D56" s="22" t="n">
        <v>35927</v>
      </c>
      <c r="E56" s="16"/>
      <c r="F56" s="18" t="s">
        <v>202</v>
      </c>
      <c r="G56" s="18" t="s">
        <v>203</v>
      </c>
      <c r="H56" s="19" t="str">
        <f aca="false">Controlli_1!$L$73</f>
        <v>ok</v>
      </c>
      <c r="I56" s="0" t="n">
        <v>1</v>
      </c>
    </row>
    <row r="57" customFormat="false" ht="15" hidden="false" customHeight="false" outlineLevel="0" collapsed="false">
      <c r="A57" s="16" t="s">
        <v>204</v>
      </c>
      <c r="B57" s="16" t="s">
        <v>195</v>
      </c>
      <c r="C57" s="5" t="s">
        <v>205</v>
      </c>
      <c r="D57" s="21" t="s">
        <v>206</v>
      </c>
      <c r="E57" s="16"/>
      <c r="F57" s="18" t="s">
        <v>89</v>
      </c>
      <c r="G57" s="18" t="s">
        <v>207</v>
      </c>
      <c r="H57" s="19" t="str">
        <f aca="false">Controlli_1!$L$74</f>
        <v>ok</v>
      </c>
      <c r="I57" s="0" t="n">
        <v>1</v>
      </c>
    </row>
    <row r="58" customFormat="false" ht="15" hidden="false" customHeight="false" outlineLevel="0" collapsed="false">
      <c r="A58" s="16" t="s">
        <v>208</v>
      </c>
      <c r="B58" s="16" t="s">
        <v>195</v>
      </c>
      <c r="C58" s="5" t="s">
        <v>209</v>
      </c>
      <c r="D58" s="21" t="s">
        <v>125</v>
      </c>
      <c r="E58" s="16"/>
      <c r="F58" s="18" t="s">
        <v>198</v>
      </c>
      <c r="G58" s="18" t="s">
        <v>210</v>
      </c>
      <c r="H58" s="19" t="str">
        <f aca="false">Controlli_1!$L$75</f>
        <v>ok</v>
      </c>
      <c r="I58" s="0" t="n">
        <v>1</v>
      </c>
    </row>
    <row r="59" customFormat="false" ht="15" hidden="false" customHeight="false" outlineLevel="0" collapsed="false">
      <c r="A59" s="16" t="s">
        <v>211</v>
      </c>
      <c r="B59" s="16" t="s">
        <v>195</v>
      </c>
      <c r="C59" s="5" t="s">
        <v>212</v>
      </c>
      <c r="D59" s="21" t="s">
        <v>213</v>
      </c>
      <c r="E59" s="16"/>
      <c r="F59" s="18" t="s">
        <v>84</v>
      </c>
      <c r="G59" s="18" t="s">
        <v>214</v>
      </c>
      <c r="H59" s="19" t="str">
        <f aca="false">Controlli_1!$L$76</f>
        <v>ok</v>
      </c>
      <c r="I59" s="0" t="n">
        <v>1</v>
      </c>
    </row>
    <row r="60" customFormat="false" ht="15" hidden="false" customHeight="false" outlineLevel="0" collapsed="false">
      <c r="A60" s="16" t="s">
        <v>215</v>
      </c>
      <c r="B60" s="16" t="s">
        <v>195</v>
      </c>
      <c r="C60" s="5" t="s">
        <v>216</v>
      </c>
      <c r="D60" s="21" t="s">
        <v>125</v>
      </c>
      <c r="E60" s="16"/>
      <c r="F60" s="18" t="s">
        <v>75</v>
      </c>
      <c r="G60" s="18" t="s">
        <v>217</v>
      </c>
      <c r="H60" s="19" t="str">
        <f aca="false">Controlli_1!$L$77</f>
        <v>ok</v>
      </c>
      <c r="I60" s="0" t="n">
        <v>1</v>
      </c>
    </row>
    <row r="61" customFormat="false" ht="15" hidden="false" customHeight="false" outlineLevel="0" collapsed="false">
      <c r="A61" s="16" t="s">
        <v>218</v>
      </c>
      <c r="B61" s="16" t="s">
        <v>195</v>
      </c>
      <c r="C61" s="5" t="s">
        <v>219</v>
      </c>
      <c r="D61" s="21"/>
      <c r="E61" s="16"/>
      <c r="F61" s="18" t="s">
        <v>220</v>
      </c>
      <c r="G61" s="18" t="s">
        <v>221</v>
      </c>
      <c r="H61" s="19" t="str">
        <f aca="false">Controlli_1!$L$78</f>
        <v/>
      </c>
      <c r="I61" s="0" t="n">
        <v>1</v>
      </c>
    </row>
    <row r="62" customFormat="false" ht="15" hidden="false" customHeight="false" outlineLevel="0" collapsed="false">
      <c r="A62" s="16" t="s">
        <v>222</v>
      </c>
      <c r="B62" s="16" t="s">
        <v>195</v>
      </c>
      <c r="C62" s="5" t="s">
        <v>223</v>
      </c>
      <c r="D62" s="22"/>
      <c r="E62" s="16"/>
      <c r="F62" s="18" t="s">
        <v>148</v>
      </c>
      <c r="G62" s="18" t="s">
        <v>224</v>
      </c>
      <c r="H62" s="19" t="str">
        <f aca="false">Controlli_1!$L$79</f>
        <v/>
      </c>
      <c r="I62" s="0" t="n">
        <v>1</v>
      </c>
    </row>
    <row r="63" customFormat="false" ht="15" hidden="false" customHeight="false" outlineLevel="0" collapsed="false">
      <c r="A63" s="16" t="s">
        <v>225</v>
      </c>
      <c r="B63" s="16" t="s">
        <v>195</v>
      </c>
      <c r="C63" s="5" t="s">
        <v>226</v>
      </c>
      <c r="D63" s="22"/>
      <c r="E63" s="16"/>
      <c r="F63" s="18" t="s">
        <v>227</v>
      </c>
      <c r="G63" s="18" t="s">
        <v>228</v>
      </c>
      <c r="H63" s="19" t="str">
        <f aca="false">Controlli_1!$L$80</f>
        <v/>
      </c>
      <c r="I63" s="0" t="n">
        <v>1</v>
      </c>
    </row>
    <row r="64" customFormat="false" ht="15" hidden="false" customHeight="false" outlineLevel="0" collapsed="false">
      <c r="A64" s="16" t="s">
        <v>229</v>
      </c>
      <c r="B64" s="16" t="s">
        <v>195</v>
      </c>
      <c r="C64" s="5" t="s">
        <v>230</v>
      </c>
      <c r="D64" s="21"/>
      <c r="E64" s="16"/>
      <c r="F64" s="18" t="s">
        <v>148</v>
      </c>
      <c r="G64" s="18" t="s">
        <v>231</v>
      </c>
      <c r="H64" s="19" t="str">
        <f aca="false">Controlli_1!$L$81</f>
        <v/>
      </c>
      <c r="I64" s="0" t="n">
        <v>1</v>
      </c>
    </row>
    <row r="65" customFormat="false" ht="15" hidden="false" customHeight="false" outlineLevel="0" collapsed="false">
      <c r="A65" s="16" t="s">
        <v>232</v>
      </c>
      <c r="B65" s="16" t="s">
        <v>195</v>
      </c>
      <c r="C65" s="5" t="s">
        <v>233</v>
      </c>
      <c r="D65" s="21"/>
      <c r="E65" s="16" t="s">
        <v>234</v>
      </c>
      <c r="F65" s="18" t="s">
        <v>235</v>
      </c>
      <c r="G65" s="18" t="s">
        <v>236</v>
      </c>
      <c r="H65" s="19" t="str">
        <f aca="false">Controlli_1!$L$82</f>
        <v/>
      </c>
      <c r="I65" s="0" t="n">
        <v>1</v>
      </c>
    </row>
    <row r="66" customFormat="false" ht="15" hidden="false" customHeight="false" outlineLevel="0" collapsed="false">
      <c r="A66" s="16" t="s">
        <v>237</v>
      </c>
      <c r="B66" s="16" t="s">
        <v>195</v>
      </c>
      <c r="C66" s="5" t="s">
        <v>238</v>
      </c>
      <c r="D66" s="21"/>
      <c r="E66" s="16" t="s">
        <v>239</v>
      </c>
      <c r="F66" s="18" t="s">
        <v>235</v>
      </c>
      <c r="G66" s="18" t="s">
        <v>240</v>
      </c>
      <c r="H66" s="19" t="str">
        <f aca="false">Controlli_1!$L$83</f>
        <v/>
      </c>
      <c r="I66" s="0" t="n">
        <v>1</v>
      </c>
    </row>
    <row r="67" customFormat="false" ht="15" hidden="false" customHeight="false" outlineLevel="0" collapsed="false">
      <c r="A67" s="16" t="s">
        <v>241</v>
      </c>
      <c r="B67" s="16" t="s">
        <v>195</v>
      </c>
      <c r="C67" s="5" t="s">
        <v>242</v>
      </c>
      <c r="D67" s="21"/>
      <c r="E67" s="16" t="s">
        <v>239</v>
      </c>
      <c r="F67" s="18" t="s">
        <v>235</v>
      </c>
      <c r="G67" s="18" t="s">
        <v>240</v>
      </c>
      <c r="H67" s="19" t="str">
        <f aca="false">Controlli_1!$L$84</f>
        <v/>
      </c>
      <c r="I67" s="0" t="n">
        <v>1</v>
      </c>
    </row>
    <row r="68" customFormat="false" ht="15" hidden="false" customHeight="false" outlineLevel="0" collapsed="false">
      <c r="A68" s="16" t="s">
        <v>243</v>
      </c>
      <c r="B68" s="16" t="s">
        <v>195</v>
      </c>
      <c r="C68" s="5" t="s">
        <v>244</v>
      </c>
      <c r="D68" s="21"/>
      <c r="E68" s="16" t="s">
        <v>234</v>
      </c>
      <c r="F68" s="18" t="s">
        <v>235</v>
      </c>
      <c r="G68" s="18" t="s">
        <v>245</v>
      </c>
      <c r="H68" s="19" t="str">
        <f aca="false">Controlli_1!$L$85</f>
        <v/>
      </c>
      <c r="I68" s="0" t="n">
        <v>1</v>
      </c>
    </row>
    <row r="69" customFormat="false" ht="15" hidden="false" customHeight="false" outlineLevel="0" collapsed="false">
      <c r="A69" s="16" t="s">
        <v>246</v>
      </c>
      <c r="B69" s="16" t="s">
        <v>195</v>
      </c>
      <c r="C69" s="5" t="s">
        <v>247</v>
      </c>
      <c r="D69" s="21"/>
      <c r="E69" s="16" t="s">
        <v>234</v>
      </c>
      <c r="F69" s="18" t="s">
        <v>235</v>
      </c>
      <c r="G69" s="18" t="s">
        <v>245</v>
      </c>
      <c r="H69" s="19" t="str">
        <f aca="false">Controlli_1!$L$86</f>
        <v/>
      </c>
      <c r="I69" s="0" t="n">
        <v>1</v>
      </c>
    </row>
    <row r="70" customFormat="false" ht="15" hidden="false" customHeight="false" outlineLevel="0" collapsed="false">
      <c r="A70" s="16" t="s">
        <v>248</v>
      </c>
      <c r="B70" s="16" t="s">
        <v>195</v>
      </c>
      <c r="C70" s="5" t="s">
        <v>249</v>
      </c>
      <c r="D70" s="21"/>
      <c r="E70" s="16" t="s">
        <v>140</v>
      </c>
      <c r="F70" s="18" t="s">
        <v>235</v>
      </c>
      <c r="G70" s="18" t="s">
        <v>245</v>
      </c>
      <c r="H70" s="19" t="str">
        <f aca="false">Controlli_1!$L$87</f>
        <v/>
      </c>
      <c r="I70" s="0" t="n">
        <v>1</v>
      </c>
    </row>
    <row r="71" customFormat="false" ht="15" hidden="false" customHeight="false" outlineLevel="0" collapsed="false">
      <c r="A71" s="16" t="s">
        <v>250</v>
      </c>
      <c r="B71" s="16" t="s">
        <v>195</v>
      </c>
      <c r="C71" s="5" t="s">
        <v>251</v>
      </c>
      <c r="D71" s="21"/>
      <c r="E71" s="16" t="s">
        <v>140</v>
      </c>
      <c r="F71" s="18" t="s">
        <v>235</v>
      </c>
      <c r="G71" s="18" t="s">
        <v>245</v>
      </c>
      <c r="H71" s="19" t="str">
        <f aca="false">Controlli_1!$L$88</f>
        <v/>
      </c>
      <c r="I71" s="0" t="n">
        <v>1</v>
      </c>
    </row>
    <row r="72" customFormat="false" ht="15" hidden="false" customHeight="false" outlineLevel="0" collapsed="false">
      <c r="A72" s="16" t="s">
        <v>252</v>
      </c>
      <c r="B72" s="16" t="s">
        <v>195</v>
      </c>
      <c r="C72" s="5" t="s">
        <v>253</v>
      </c>
      <c r="D72" s="21"/>
      <c r="E72" s="16" t="s">
        <v>140</v>
      </c>
      <c r="F72" s="18" t="s">
        <v>235</v>
      </c>
      <c r="G72" s="18" t="s">
        <v>245</v>
      </c>
      <c r="H72" s="19" t="str">
        <f aca="false">Controlli_1!$L$89</f>
        <v/>
      </c>
      <c r="I72" s="0" t="n">
        <v>1</v>
      </c>
    </row>
    <row r="73" customFormat="false" ht="15" hidden="false" customHeight="false" outlineLevel="0" collapsed="false">
      <c r="A73" s="16" t="s">
        <v>254</v>
      </c>
      <c r="B73" s="16" t="s">
        <v>195</v>
      </c>
      <c r="C73" s="5" t="s">
        <v>255</v>
      </c>
      <c r="D73" s="21"/>
      <c r="E73" s="16" t="s">
        <v>140</v>
      </c>
      <c r="F73" s="18" t="s">
        <v>235</v>
      </c>
      <c r="G73" s="18" t="s">
        <v>245</v>
      </c>
      <c r="H73" s="19" t="str">
        <f aca="false">Controlli_1!$L$90</f>
        <v/>
      </c>
      <c r="I73" s="0" t="n">
        <v>1</v>
      </c>
    </row>
    <row r="74" customFormat="false" ht="25.35" hidden="false" customHeight="false" outlineLevel="0" collapsed="false">
      <c r="A74" s="16" t="s">
        <v>256</v>
      </c>
      <c r="B74" s="16" t="s">
        <v>195</v>
      </c>
      <c r="C74" s="5" t="s">
        <v>257</v>
      </c>
      <c r="D74" s="21"/>
      <c r="E74" s="16"/>
      <c r="F74" s="18" t="s">
        <v>258</v>
      </c>
      <c r="G74" s="18" t="s">
        <v>259</v>
      </c>
      <c r="H74" s="19" t="str">
        <f aca="false">Controlli_1!$L$91</f>
        <v/>
      </c>
      <c r="I74" s="0" t="n">
        <v>1</v>
      </c>
    </row>
    <row r="75" customFormat="false" ht="23.85" hidden="false" customHeight="false" outlineLevel="0" collapsed="false">
      <c r="A75" s="16" t="s">
        <v>260</v>
      </c>
      <c r="B75" s="16" t="s">
        <v>195</v>
      </c>
      <c r="C75" s="5" t="s">
        <v>261</v>
      </c>
      <c r="D75" s="21"/>
      <c r="E75" s="16"/>
      <c r="F75" s="18" t="s">
        <v>262</v>
      </c>
      <c r="G75" s="18" t="s">
        <v>263</v>
      </c>
      <c r="H75" s="19" t="str">
        <f aca="false">Controlli_1!$L$92</f>
        <v/>
      </c>
      <c r="I75" s="0" t="n">
        <v>1</v>
      </c>
    </row>
    <row r="76" customFormat="false" ht="23.85" hidden="false" customHeight="false" outlineLevel="0" collapsed="false">
      <c r="A76" s="16" t="s">
        <v>264</v>
      </c>
      <c r="B76" s="16" t="s">
        <v>195</v>
      </c>
      <c r="C76" s="5" t="s">
        <v>265</v>
      </c>
      <c r="D76" s="21"/>
      <c r="E76" s="16"/>
      <c r="F76" s="18" t="s">
        <v>266</v>
      </c>
      <c r="G76" s="18" t="s">
        <v>267</v>
      </c>
      <c r="H76" s="19" t="str">
        <f aca="false">Controlli_1!$L$93</f>
        <v/>
      </c>
      <c r="I76" s="0" t="n">
        <v>1</v>
      </c>
    </row>
    <row r="77" customFormat="false" ht="19.5" hidden="false" customHeight="true" outlineLevel="0" collapsed="false">
      <c r="A77" s="14" t="s">
        <v>268</v>
      </c>
      <c r="B77" s="14"/>
      <c r="C77" s="14"/>
      <c r="D77" s="14"/>
      <c r="E77" s="14"/>
      <c r="F77" s="14"/>
      <c r="G77" s="14"/>
      <c r="H77" s="14"/>
    </row>
    <row r="78" customFormat="false" ht="15" hidden="false" customHeight="false" outlineLevel="0" collapsed="false">
      <c r="A78" s="15" t="s">
        <v>269</v>
      </c>
      <c r="B78" s="15"/>
      <c r="C78" s="15"/>
      <c r="D78" s="15"/>
      <c r="E78" s="15"/>
      <c r="F78" s="15"/>
      <c r="G78" s="15"/>
      <c r="H78" s="15"/>
    </row>
    <row r="79" customFormat="false" ht="23.85" hidden="false" customHeight="false" outlineLevel="0" collapsed="false">
      <c r="A79" s="16" t="s">
        <v>270</v>
      </c>
      <c r="B79" s="16" t="s">
        <v>271</v>
      </c>
      <c r="C79" s="5" t="s">
        <v>272</v>
      </c>
      <c r="D79" s="21"/>
      <c r="E79" s="16" t="s">
        <v>234</v>
      </c>
      <c r="F79" s="18" t="s">
        <v>179</v>
      </c>
      <c r="G79" s="18" t="s">
        <v>273</v>
      </c>
      <c r="H79" s="19" t="str">
        <f aca="false">Controlli_1!$L$94</f>
        <v/>
      </c>
      <c r="I79" s="0" t="n">
        <v>1</v>
      </c>
    </row>
    <row r="80" customFormat="false" ht="23.85" hidden="false" customHeight="false" outlineLevel="0" collapsed="false">
      <c r="A80" s="16" t="s">
        <v>274</v>
      </c>
      <c r="B80" s="16" t="s">
        <v>271</v>
      </c>
      <c r="C80" s="5" t="s">
        <v>275</v>
      </c>
      <c r="D80" s="21"/>
      <c r="E80" s="16" t="s">
        <v>234</v>
      </c>
      <c r="F80" s="18" t="s">
        <v>179</v>
      </c>
      <c r="G80" s="18" t="s">
        <v>276</v>
      </c>
      <c r="H80" s="19" t="str">
        <f aca="false">Controlli_1!$L$95</f>
        <v/>
      </c>
      <c r="I80" s="0" t="n">
        <v>1</v>
      </c>
    </row>
    <row r="81" customFormat="false" ht="23.85" hidden="false" customHeight="false" outlineLevel="0" collapsed="false">
      <c r="A81" s="16" t="s">
        <v>277</v>
      </c>
      <c r="B81" s="16" t="s">
        <v>271</v>
      </c>
      <c r="C81" s="5" t="s">
        <v>278</v>
      </c>
      <c r="D81" s="21"/>
      <c r="E81" s="16" t="s">
        <v>234</v>
      </c>
      <c r="F81" s="18" t="s">
        <v>179</v>
      </c>
      <c r="G81" s="18" t="s">
        <v>276</v>
      </c>
      <c r="H81" s="19" t="str">
        <f aca="false">Controlli_1!$L$96</f>
        <v/>
      </c>
      <c r="I81" s="0" t="n">
        <v>1</v>
      </c>
    </row>
    <row r="82" customFormat="false" ht="23.85" hidden="false" customHeight="false" outlineLevel="0" collapsed="false">
      <c r="A82" s="16" t="s">
        <v>279</v>
      </c>
      <c r="B82" s="16" t="s">
        <v>271</v>
      </c>
      <c r="C82" s="5" t="s">
        <v>280</v>
      </c>
      <c r="D82" s="21"/>
      <c r="E82" s="16" t="s">
        <v>234</v>
      </c>
      <c r="F82" s="18" t="s">
        <v>179</v>
      </c>
      <c r="G82" s="18" t="s">
        <v>276</v>
      </c>
      <c r="H82" s="19" t="str">
        <f aca="false">Controlli_1!$L$97</f>
        <v/>
      </c>
      <c r="I82" s="0" t="n">
        <v>1</v>
      </c>
    </row>
    <row r="83" customFormat="false" ht="23.85" hidden="false" customHeight="false" outlineLevel="0" collapsed="false">
      <c r="A83" s="16" t="s">
        <v>281</v>
      </c>
      <c r="B83" s="16" t="s">
        <v>271</v>
      </c>
      <c r="C83" s="5" t="s">
        <v>282</v>
      </c>
      <c r="D83" s="21"/>
      <c r="E83" s="16" t="s">
        <v>234</v>
      </c>
      <c r="F83" s="18" t="s">
        <v>179</v>
      </c>
      <c r="G83" s="18" t="s">
        <v>276</v>
      </c>
      <c r="H83" s="19" t="str">
        <f aca="false">Controlli_1!$L$98</f>
        <v/>
      </c>
      <c r="I83" s="0" t="n">
        <v>1</v>
      </c>
    </row>
    <row r="84" customFormat="false" ht="23.85" hidden="false" customHeight="false" outlineLevel="0" collapsed="false">
      <c r="A84" s="16" t="s">
        <v>283</v>
      </c>
      <c r="B84" s="16" t="s">
        <v>271</v>
      </c>
      <c r="C84" s="5" t="s">
        <v>284</v>
      </c>
      <c r="D84" s="21"/>
      <c r="E84" s="16" t="s">
        <v>239</v>
      </c>
      <c r="F84" s="18" t="s">
        <v>179</v>
      </c>
      <c r="G84" s="18" t="s">
        <v>276</v>
      </c>
      <c r="H84" s="19" t="str">
        <f aca="false">Controlli_1!$L$99</f>
        <v/>
      </c>
      <c r="I84" s="0" t="n">
        <v>1</v>
      </c>
    </row>
    <row r="85" customFormat="false" ht="23.85" hidden="false" customHeight="false" outlineLevel="0" collapsed="false">
      <c r="A85" s="16" t="s">
        <v>285</v>
      </c>
      <c r="B85" s="16" t="s">
        <v>271</v>
      </c>
      <c r="C85" s="5" t="s">
        <v>286</v>
      </c>
      <c r="D85" s="21"/>
      <c r="E85" s="16" t="s">
        <v>239</v>
      </c>
      <c r="F85" s="18" t="s">
        <v>179</v>
      </c>
      <c r="G85" s="18" t="s">
        <v>276</v>
      </c>
      <c r="H85" s="19" t="str">
        <f aca="false">Controlli_1!$L$100</f>
        <v/>
      </c>
      <c r="I85" s="0" t="n">
        <v>1</v>
      </c>
    </row>
    <row r="86" customFormat="false" ht="23.85" hidden="false" customHeight="false" outlineLevel="0" collapsed="false">
      <c r="A86" s="16" t="s">
        <v>287</v>
      </c>
      <c r="B86" s="16" t="s">
        <v>271</v>
      </c>
      <c r="C86" s="5" t="s">
        <v>288</v>
      </c>
      <c r="D86" s="21"/>
      <c r="E86" s="16" t="s">
        <v>140</v>
      </c>
      <c r="F86" s="18" t="s">
        <v>179</v>
      </c>
      <c r="G86" s="18" t="s">
        <v>276</v>
      </c>
      <c r="H86" s="19" t="str">
        <f aca="false">Controlli_1!$L$101</f>
        <v/>
      </c>
      <c r="I86" s="0" t="n">
        <v>1</v>
      </c>
    </row>
    <row r="87" customFormat="false" ht="23.85" hidden="false" customHeight="false" outlineLevel="0" collapsed="false">
      <c r="A87" s="16" t="s">
        <v>289</v>
      </c>
      <c r="B87" s="16" t="s">
        <v>271</v>
      </c>
      <c r="C87" s="5" t="s">
        <v>290</v>
      </c>
      <c r="D87" s="21"/>
      <c r="E87" s="16" t="s">
        <v>140</v>
      </c>
      <c r="F87" s="18" t="s">
        <v>179</v>
      </c>
      <c r="G87" s="18" t="s">
        <v>276</v>
      </c>
      <c r="H87" s="19" t="str">
        <f aca="false">Controlli_1!$L$102</f>
        <v/>
      </c>
      <c r="I87" s="0" t="n">
        <v>1</v>
      </c>
    </row>
    <row r="88" customFormat="false" ht="23.85" hidden="false" customHeight="false" outlineLevel="0" collapsed="false">
      <c r="A88" s="16" t="s">
        <v>291</v>
      </c>
      <c r="B88" s="16" t="s">
        <v>271</v>
      </c>
      <c r="C88" s="5" t="s">
        <v>292</v>
      </c>
      <c r="D88" s="21"/>
      <c r="E88" s="16" t="s">
        <v>293</v>
      </c>
      <c r="F88" s="18" t="s">
        <v>179</v>
      </c>
      <c r="G88" s="18" t="s">
        <v>276</v>
      </c>
      <c r="H88" s="19" t="str">
        <f aca="false">Controlli_1!$L$103</f>
        <v/>
      </c>
      <c r="I88" s="0" t="n">
        <v>1</v>
      </c>
    </row>
    <row r="89" customFormat="false" ht="23.85" hidden="false" customHeight="false" outlineLevel="0" collapsed="false">
      <c r="A89" s="16" t="s">
        <v>294</v>
      </c>
      <c r="B89" s="16" t="s">
        <v>271</v>
      </c>
      <c r="C89" s="5" t="s">
        <v>295</v>
      </c>
      <c r="D89" s="21"/>
      <c r="E89" s="16" t="s">
        <v>293</v>
      </c>
      <c r="F89" s="18" t="s">
        <v>179</v>
      </c>
      <c r="G89" s="18" t="s">
        <v>276</v>
      </c>
      <c r="H89" s="19" t="str">
        <f aca="false">Controlli_1!$L$104</f>
        <v/>
      </c>
      <c r="I89" s="0" t="n">
        <v>1</v>
      </c>
    </row>
    <row r="90" customFormat="false" ht="23.85" hidden="false" customHeight="false" outlineLevel="0" collapsed="false">
      <c r="A90" s="16" t="s">
        <v>296</v>
      </c>
      <c r="B90" s="16" t="s">
        <v>271</v>
      </c>
      <c r="C90" s="5" t="s">
        <v>297</v>
      </c>
      <c r="D90" s="21" t="n">
        <v>1</v>
      </c>
      <c r="E90" s="16" t="s">
        <v>293</v>
      </c>
      <c r="F90" s="18" t="s">
        <v>298</v>
      </c>
      <c r="G90" s="18" t="s">
        <v>299</v>
      </c>
      <c r="H90" s="19" t="str">
        <f aca="false">Controlli_1!$L$105</f>
        <v>ok</v>
      </c>
      <c r="I90" s="0" t="n">
        <v>1</v>
      </c>
    </row>
    <row r="91" customFormat="false" ht="23.85" hidden="false" customHeight="false" outlineLevel="0" collapsed="false">
      <c r="A91" s="16" t="s">
        <v>300</v>
      </c>
      <c r="B91" s="16" t="s">
        <v>271</v>
      </c>
      <c r="C91" s="5" t="s">
        <v>301</v>
      </c>
      <c r="D91" s="21" t="n">
        <v>1</v>
      </c>
      <c r="E91" s="16" t="s">
        <v>293</v>
      </c>
      <c r="F91" s="18" t="s">
        <v>298</v>
      </c>
      <c r="G91" s="18" t="s">
        <v>299</v>
      </c>
      <c r="H91" s="19" t="str">
        <f aca="false">Controlli_1!$L$106</f>
        <v>ok</v>
      </c>
      <c r="I91" s="0" t="n">
        <v>1</v>
      </c>
    </row>
    <row r="92" customFormat="false" ht="23.85" hidden="false" customHeight="false" outlineLevel="0" collapsed="false">
      <c r="A92" s="16" t="s">
        <v>302</v>
      </c>
      <c r="B92" s="16" t="s">
        <v>271</v>
      </c>
      <c r="C92" s="5" t="s">
        <v>303</v>
      </c>
      <c r="D92" s="21"/>
      <c r="E92" s="16" t="s">
        <v>239</v>
      </c>
      <c r="F92" s="18" t="s">
        <v>136</v>
      </c>
      <c r="G92" s="18" t="s">
        <v>304</v>
      </c>
      <c r="H92" s="19" t="str">
        <f aca="false">Controlli_1!$L$107</f>
        <v/>
      </c>
      <c r="I92" s="0" t="n">
        <v>1</v>
      </c>
    </row>
    <row r="93" customFormat="false" ht="23.85" hidden="false" customHeight="false" outlineLevel="0" collapsed="false">
      <c r="A93" s="16" t="s">
        <v>305</v>
      </c>
      <c r="B93" s="16" t="s">
        <v>271</v>
      </c>
      <c r="C93" s="5" t="s">
        <v>306</v>
      </c>
      <c r="D93" s="21"/>
      <c r="E93" s="16" t="s">
        <v>239</v>
      </c>
      <c r="F93" s="18" t="s">
        <v>179</v>
      </c>
      <c r="G93" s="18" t="s">
        <v>307</v>
      </c>
      <c r="H93" s="19" t="str">
        <f aca="false">Controlli_1!$L$108</f>
        <v/>
      </c>
      <c r="I93" s="0" t="n">
        <v>1</v>
      </c>
    </row>
    <row r="94" customFormat="false" ht="15" hidden="false" customHeight="false" outlineLevel="0" collapsed="false">
      <c r="A94" s="16" t="s">
        <v>308</v>
      </c>
      <c r="B94" s="16" t="s">
        <v>271</v>
      </c>
      <c r="C94" s="5" t="s">
        <v>309</v>
      </c>
      <c r="D94" s="23" t="str">
        <f aca="false">IF(AND(ISNUMBER(Scheda_1!$D$92),ISNUMBER(Scheda_1!$D$93),Scheda_1!$D$92&gt;0),Scheda_1!$D$93/Scheda_1!$D$92,"")</f>
        <v/>
      </c>
      <c r="E94" s="16" t="s">
        <v>310</v>
      </c>
      <c r="F94" s="18" t="s">
        <v>43</v>
      </c>
      <c r="G94" s="18" t="s">
        <v>311</v>
      </c>
      <c r="H94" s="19" t="str">
        <f aca="false">Controlli_1!$L$109</f>
        <v/>
      </c>
      <c r="I94" s="0" t="n">
        <v>1</v>
      </c>
    </row>
    <row r="95" customFormat="false" ht="15" hidden="false" customHeight="false" outlineLevel="0" collapsed="false">
      <c r="A95" s="16" t="s">
        <v>312</v>
      </c>
      <c r="B95" s="16" t="s">
        <v>271</v>
      </c>
      <c r="C95" s="5" t="s">
        <v>313</v>
      </c>
      <c r="D95" s="21"/>
      <c r="E95" s="16" t="s">
        <v>239</v>
      </c>
      <c r="F95" s="18" t="s">
        <v>258</v>
      </c>
      <c r="G95" s="18" t="s">
        <v>314</v>
      </c>
      <c r="H95" s="19" t="str">
        <f aca="false">Controlli_1!$L$110</f>
        <v/>
      </c>
      <c r="I95" s="0" t="n">
        <v>1</v>
      </c>
    </row>
    <row r="96" customFormat="false" ht="23.85" hidden="false" customHeight="false" outlineLevel="0" collapsed="false">
      <c r="A96" s="16" t="s">
        <v>315</v>
      </c>
      <c r="B96" s="16" t="s">
        <v>271</v>
      </c>
      <c r="C96" s="5" t="s">
        <v>316</v>
      </c>
      <c r="D96" s="21" t="s">
        <v>125</v>
      </c>
      <c r="E96" s="16"/>
      <c r="F96" s="18" t="s">
        <v>298</v>
      </c>
      <c r="G96" s="18" t="s">
        <v>317</v>
      </c>
      <c r="H96" s="19" t="str">
        <f aca="false">Controlli_1!$L$111</f>
        <v>ok</v>
      </c>
      <c r="I96" s="0" t="n">
        <v>1</v>
      </c>
    </row>
    <row r="97" customFormat="false" ht="23.85" hidden="false" customHeight="false" outlineLevel="0" collapsed="false">
      <c r="A97" s="16" t="s">
        <v>318</v>
      </c>
      <c r="B97" s="16" t="s">
        <v>271</v>
      </c>
      <c r="C97" s="5" t="s">
        <v>319</v>
      </c>
      <c r="D97" s="21"/>
      <c r="E97" s="16" t="s">
        <v>293</v>
      </c>
      <c r="F97" s="18" t="s">
        <v>320</v>
      </c>
      <c r="G97" s="18" t="s">
        <v>321</v>
      </c>
      <c r="H97" s="19" t="str">
        <f aca="false">Controlli_1!$L$112</f>
        <v/>
      </c>
      <c r="I97" s="0" t="n">
        <v>1</v>
      </c>
    </row>
    <row r="98" customFormat="false" ht="23.85" hidden="false" customHeight="false" outlineLevel="0" collapsed="false">
      <c r="A98" s="16" t="s">
        <v>322</v>
      </c>
      <c r="B98" s="16" t="s">
        <v>271</v>
      </c>
      <c r="C98" s="5" t="s">
        <v>323</v>
      </c>
      <c r="D98" s="21" t="s">
        <v>125</v>
      </c>
      <c r="E98" s="16"/>
      <c r="F98" s="18" t="s">
        <v>298</v>
      </c>
      <c r="G98" s="18" t="s">
        <v>324</v>
      </c>
      <c r="H98" s="19" t="str">
        <f aca="false">Controlli_1!$L$113</f>
        <v>ok</v>
      </c>
      <c r="I98" s="0" t="n">
        <v>1</v>
      </c>
    </row>
    <row r="99" customFormat="false" ht="23.85" hidden="false" customHeight="false" outlineLevel="0" collapsed="false">
      <c r="A99" s="16" t="s">
        <v>325</v>
      </c>
      <c r="B99" s="16" t="s">
        <v>271</v>
      </c>
      <c r="C99" s="5" t="s">
        <v>326</v>
      </c>
      <c r="D99" s="21"/>
      <c r="E99" s="16"/>
      <c r="F99" s="18" t="s">
        <v>179</v>
      </c>
      <c r="G99" s="18" t="s">
        <v>327</v>
      </c>
      <c r="H99" s="19" t="str">
        <f aca="false">Controlli_1!$L$114</f>
        <v/>
      </c>
      <c r="I99" s="0" t="n">
        <v>1</v>
      </c>
    </row>
    <row r="100" customFormat="false" ht="23.85" hidden="false" customHeight="false" outlineLevel="0" collapsed="false">
      <c r="A100" s="16" t="s">
        <v>328</v>
      </c>
      <c r="B100" s="16" t="s">
        <v>271</v>
      </c>
      <c r="C100" s="5" t="s">
        <v>329</v>
      </c>
      <c r="D100" s="21"/>
      <c r="E100" s="16" t="s">
        <v>140</v>
      </c>
      <c r="F100" s="18" t="s">
        <v>330</v>
      </c>
      <c r="G100" s="18" t="s">
        <v>331</v>
      </c>
      <c r="H100" s="19" t="str">
        <f aca="false">Controlli_1!$L$115</f>
        <v/>
      </c>
      <c r="I100" s="0" t="n">
        <v>1</v>
      </c>
    </row>
    <row r="101" customFormat="false" ht="23.85" hidden="false" customHeight="false" outlineLevel="0" collapsed="false">
      <c r="A101" s="16" t="s">
        <v>332</v>
      </c>
      <c r="B101" s="16" t="s">
        <v>271</v>
      </c>
      <c r="C101" s="5" t="s">
        <v>333</v>
      </c>
      <c r="D101" s="21"/>
      <c r="E101" s="16" t="s">
        <v>140</v>
      </c>
      <c r="F101" s="18" t="s">
        <v>330</v>
      </c>
      <c r="G101" s="18" t="s">
        <v>331</v>
      </c>
      <c r="H101" s="19" t="str">
        <f aca="false">Controlli_1!$L$116</f>
        <v/>
      </c>
      <c r="I101" s="0" t="n">
        <v>1</v>
      </c>
    </row>
    <row r="102" customFormat="false" ht="23.85" hidden="false" customHeight="false" outlineLevel="0" collapsed="false">
      <c r="A102" s="16" t="s">
        <v>334</v>
      </c>
      <c r="B102" s="16" t="s">
        <v>271</v>
      </c>
      <c r="C102" s="5" t="s">
        <v>335</v>
      </c>
      <c r="D102" s="21"/>
      <c r="E102" s="16" t="s">
        <v>140</v>
      </c>
      <c r="F102" s="18" t="s">
        <v>179</v>
      </c>
      <c r="G102" s="18" t="s">
        <v>336</v>
      </c>
      <c r="H102" s="19" t="str">
        <f aca="false">Controlli_1!$L$117</f>
        <v/>
      </c>
      <c r="I102" s="0" t="n">
        <v>1</v>
      </c>
    </row>
    <row r="103" customFormat="false" ht="23.85" hidden="false" customHeight="false" outlineLevel="0" collapsed="false">
      <c r="A103" s="16" t="s">
        <v>337</v>
      </c>
      <c r="B103" s="16" t="s">
        <v>271</v>
      </c>
      <c r="C103" s="5" t="s">
        <v>338</v>
      </c>
      <c r="D103" s="21"/>
      <c r="E103" s="16" t="s">
        <v>140</v>
      </c>
      <c r="F103" s="18" t="s">
        <v>179</v>
      </c>
      <c r="G103" s="18" t="s">
        <v>339</v>
      </c>
      <c r="H103" s="19" t="str">
        <f aca="false">Controlli_1!$L$118</f>
        <v/>
      </c>
      <c r="I103" s="0" t="n">
        <v>1</v>
      </c>
    </row>
    <row r="104" customFormat="false" ht="23.85" hidden="false" customHeight="false" outlineLevel="0" collapsed="false">
      <c r="A104" s="16" t="s">
        <v>340</v>
      </c>
      <c r="B104" s="16" t="s">
        <v>271</v>
      </c>
      <c r="C104" s="5" t="s">
        <v>341</v>
      </c>
      <c r="D104" s="21"/>
      <c r="E104" s="16" t="s">
        <v>140</v>
      </c>
      <c r="F104" s="18" t="s">
        <v>179</v>
      </c>
      <c r="G104" s="18" t="s">
        <v>339</v>
      </c>
      <c r="H104" s="19" t="str">
        <f aca="false">Controlli_1!$L$119</f>
        <v/>
      </c>
      <c r="I104" s="0" t="n">
        <v>1</v>
      </c>
    </row>
    <row r="105" customFormat="false" ht="23.85" hidden="false" customHeight="false" outlineLevel="0" collapsed="false">
      <c r="A105" s="16" t="s">
        <v>342</v>
      </c>
      <c r="B105" s="16" t="s">
        <v>271</v>
      </c>
      <c r="C105" s="5" t="s">
        <v>343</v>
      </c>
      <c r="D105" s="21"/>
      <c r="E105" s="16" t="s">
        <v>140</v>
      </c>
      <c r="F105" s="18" t="s">
        <v>179</v>
      </c>
      <c r="G105" s="18" t="s">
        <v>344</v>
      </c>
      <c r="H105" s="19" t="str">
        <f aca="false">Controlli_1!$L$120</f>
        <v/>
      </c>
      <c r="I105" s="0" t="n">
        <v>1</v>
      </c>
    </row>
    <row r="106" customFormat="false" ht="23.85" hidden="false" customHeight="false" outlineLevel="0" collapsed="false">
      <c r="A106" s="16" t="s">
        <v>345</v>
      </c>
      <c r="B106" s="16" t="s">
        <v>271</v>
      </c>
      <c r="C106" s="5" t="s">
        <v>346</v>
      </c>
      <c r="D106" s="21"/>
      <c r="E106" s="16"/>
      <c r="F106" s="18" t="s">
        <v>179</v>
      </c>
      <c r="G106" s="18" t="s">
        <v>347</v>
      </c>
      <c r="H106" s="19" t="str">
        <f aca="false">Controlli_1!$L$121</f>
        <v/>
      </c>
      <c r="I106" s="0" t="n">
        <v>1</v>
      </c>
    </row>
    <row r="107" customFormat="false" ht="35.05" hidden="false" customHeight="false" outlineLevel="0" collapsed="false">
      <c r="A107" s="16" t="s">
        <v>348</v>
      </c>
      <c r="B107" s="16" t="s">
        <v>271</v>
      </c>
      <c r="C107" s="5" t="s">
        <v>349</v>
      </c>
      <c r="D107" s="21"/>
      <c r="E107" s="16" t="s">
        <v>140</v>
      </c>
      <c r="F107" s="18" t="s">
        <v>350</v>
      </c>
      <c r="G107" s="18" t="s">
        <v>351</v>
      </c>
      <c r="H107" s="19" t="str">
        <f aca="false">Controlli_1!$L$122</f>
        <v/>
      </c>
      <c r="I107" s="0" t="n">
        <v>1</v>
      </c>
    </row>
    <row r="108" customFormat="false" ht="35.05" hidden="false" customHeight="false" outlineLevel="0" collapsed="false">
      <c r="A108" s="16" t="s">
        <v>352</v>
      </c>
      <c r="B108" s="16" t="s">
        <v>271</v>
      </c>
      <c r="C108" s="5" t="s">
        <v>353</v>
      </c>
      <c r="D108" s="21"/>
      <c r="E108" s="16" t="s">
        <v>140</v>
      </c>
      <c r="F108" s="18" t="s">
        <v>350</v>
      </c>
      <c r="G108" s="18" t="s">
        <v>354</v>
      </c>
      <c r="H108" s="19" t="str">
        <f aca="false">Controlli_1!$L$123</f>
        <v/>
      </c>
      <c r="I108" s="0" t="n">
        <v>1</v>
      </c>
    </row>
    <row r="109" customFormat="false" ht="23.85" hidden="false" customHeight="false" outlineLevel="0" collapsed="false">
      <c r="A109" s="16" t="s">
        <v>355</v>
      </c>
      <c r="B109" s="16" t="s">
        <v>271</v>
      </c>
      <c r="C109" s="5" t="s">
        <v>356</v>
      </c>
      <c r="D109" s="21"/>
      <c r="E109" s="16"/>
      <c r="F109" s="18" t="s">
        <v>179</v>
      </c>
      <c r="G109" s="18" t="s">
        <v>357</v>
      </c>
      <c r="H109" s="19" t="str">
        <f aca="false">Controlli_1!$L$124</f>
        <v/>
      </c>
      <c r="I109" s="0" t="n">
        <v>1</v>
      </c>
    </row>
    <row r="110" customFormat="false" ht="23.85" hidden="false" customHeight="false" outlineLevel="0" collapsed="false">
      <c r="A110" s="16" t="s">
        <v>358</v>
      </c>
      <c r="B110" s="16" t="s">
        <v>271</v>
      </c>
      <c r="C110" s="5" t="s">
        <v>359</v>
      </c>
      <c r="D110" s="21"/>
      <c r="E110" s="16" t="s">
        <v>234</v>
      </c>
      <c r="F110" s="18" t="s">
        <v>179</v>
      </c>
      <c r="G110" s="18" t="s">
        <v>360</v>
      </c>
      <c r="H110" s="19" t="str">
        <f aca="false">Controlli_1!$L$125</f>
        <v/>
      </c>
      <c r="I110" s="0" t="n">
        <v>1</v>
      </c>
    </row>
    <row r="111" customFormat="false" ht="23.85" hidden="false" customHeight="false" outlineLevel="0" collapsed="false">
      <c r="A111" s="16" t="s">
        <v>361</v>
      </c>
      <c r="B111" s="16" t="s">
        <v>271</v>
      </c>
      <c r="C111" s="5" t="s">
        <v>362</v>
      </c>
      <c r="D111" s="21"/>
      <c r="E111" s="16" t="s">
        <v>234</v>
      </c>
      <c r="F111" s="18" t="s">
        <v>179</v>
      </c>
      <c r="G111" s="18" t="s">
        <v>363</v>
      </c>
      <c r="H111" s="19" t="str">
        <f aca="false">Controlli_1!$L$126</f>
        <v/>
      </c>
      <c r="I111" s="0" t="n">
        <v>1</v>
      </c>
    </row>
    <row r="112" customFormat="false" ht="23.85" hidden="false" customHeight="false" outlineLevel="0" collapsed="false">
      <c r="A112" s="16" t="s">
        <v>364</v>
      </c>
      <c r="B112" s="16" t="s">
        <v>271</v>
      </c>
      <c r="C112" s="5" t="s">
        <v>365</v>
      </c>
      <c r="D112" s="21"/>
      <c r="E112" s="16" t="s">
        <v>234</v>
      </c>
      <c r="F112" s="18" t="s">
        <v>179</v>
      </c>
      <c r="G112" s="18" t="s">
        <v>363</v>
      </c>
      <c r="H112" s="19" t="str">
        <f aca="false">Controlli_1!$L$127</f>
        <v/>
      </c>
      <c r="I112" s="0" t="n">
        <v>1</v>
      </c>
    </row>
    <row r="113" customFormat="false" ht="23.85" hidden="false" customHeight="false" outlineLevel="0" collapsed="false">
      <c r="A113" s="16" t="s">
        <v>366</v>
      </c>
      <c r="B113" s="16" t="s">
        <v>271</v>
      </c>
      <c r="C113" s="5" t="s">
        <v>367</v>
      </c>
      <c r="D113" s="21" t="n">
        <v>1</v>
      </c>
      <c r="E113" s="16" t="s">
        <v>293</v>
      </c>
      <c r="F113" s="18" t="s">
        <v>298</v>
      </c>
      <c r="G113" s="18" t="s">
        <v>368</v>
      </c>
      <c r="H113" s="19" t="str">
        <f aca="false">Controlli_1!$L$128</f>
        <v>ok</v>
      </c>
      <c r="I113" s="0" t="n">
        <v>1</v>
      </c>
    </row>
    <row r="114" customFormat="false" ht="23.85" hidden="false" customHeight="false" outlineLevel="0" collapsed="false">
      <c r="A114" s="16" t="s">
        <v>369</v>
      </c>
      <c r="B114" s="16" t="s">
        <v>271</v>
      </c>
      <c r="C114" s="5" t="s">
        <v>370</v>
      </c>
      <c r="D114" s="21" t="s">
        <v>371</v>
      </c>
      <c r="E114" s="16"/>
      <c r="F114" s="18" t="s">
        <v>298</v>
      </c>
      <c r="G114" s="18" t="s">
        <v>372</v>
      </c>
      <c r="H114" s="19" t="str">
        <f aca="false">Controlli_1!$L$129</f>
        <v>ok</v>
      </c>
      <c r="I114" s="0" t="n">
        <v>1</v>
      </c>
    </row>
    <row r="115" customFormat="false" ht="23.85" hidden="false" customHeight="false" outlineLevel="0" collapsed="false">
      <c r="A115" s="16" t="s">
        <v>373</v>
      </c>
      <c r="B115" s="16" t="s">
        <v>271</v>
      </c>
      <c r="C115" s="5" t="s">
        <v>374</v>
      </c>
      <c r="D115" s="21"/>
      <c r="E115" s="16" t="s">
        <v>140</v>
      </c>
      <c r="F115" s="18" t="s">
        <v>375</v>
      </c>
      <c r="G115" s="18" t="s">
        <v>376</v>
      </c>
      <c r="H115" s="19" t="str">
        <f aca="false">Controlli_1!$L$130</f>
        <v/>
      </c>
      <c r="I115" s="0" t="n">
        <v>1</v>
      </c>
    </row>
    <row r="116" customFormat="false" ht="35.05" hidden="false" customHeight="false" outlineLevel="0" collapsed="false">
      <c r="A116" s="16" t="s">
        <v>377</v>
      </c>
      <c r="B116" s="16" t="s">
        <v>271</v>
      </c>
      <c r="C116" s="5" t="s">
        <v>378</v>
      </c>
      <c r="D116" s="21" t="s">
        <v>379</v>
      </c>
      <c r="E116" s="16"/>
      <c r="F116" s="18" t="s">
        <v>380</v>
      </c>
      <c r="G116" s="18" t="s">
        <v>376</v>
      </c>
      <c r="H116" s="19" t="str">
        <f aca="false">Controlli_1!$L$131</f>
        <v>ok</v>
      </c>
      <c r="I116" s="0" t="n">
        <v>1</v>
      </c>
    </row>
    <row r="117" customFormat="false" ht="23.85" hidden="false" customHeight="false" outlineLevel="0" collapsed="false">
      <c r="A117" s="16" t="s">
        <v>381</v>
      </c>
      <c r="B117" s="16" t="s">
        <v>271</v>
      </c>
      <c r="C117" s="5" t="s">
        <v>382</v>
      </c>
      <c r="D117" s="21" t="s">
        <v>383</v>
      </c>
      <c r="E117" s="16"/>
      <c r="F117" s="18" t="s">
        <v>298</v>
      </c>
      <c r="G117" s="18" t="s">
        <v>384</v>
      </c>
      <c r="H117" s="19" t="str">
        <f aca="false">Controlli_1!$L$132</f>
        <v>ok</v>
      </c>
      <c r="I117" s="0" t="n">
        <v>1</v>
      </c>
    </row>
    <row r="118" customFormat="false" ht="23.85" hidden="false" customHeight="false" outlineLevel="0" collapsed="false">
      <c r="A118" s="16" t="s">
        <v>385</v>
      </c>
      <c r="B118" s="16" t="s">
        <v>271</v>
      </c>
      <c r="C118" s="5" t="s">
        <v>386</v>
      </c>
      <c r="D118" s="21" t="s">
        <v>387</v>
      </c>
      <c r="E118" s="16"/>
      <c r="F118" s="18" t="s">
        <v>298</v>
      </c>
      <c r="G118" s="18" t="s">
        <v>388</v>
      </c>
      <c r="H118" s="19" t="str">
        <f aca="false">Controlli_1!$L$133</f>
        <v>ok</v>
      </c>
      <c r="I118" s="0" t="n">
        <v>1</v>
      </c>
    </row>
    <row r="119" customFormat="false" ht="23.85" hidden="false" customHeight="false" outlineLevel="0" collapsed="false">
      <c r="A119" s="16" t="s">
        <v>389</v>
      </c>
      <c r="B119" s="16" t="s">
        <v>271</v>
      </c>
      <c r="C119" s="5" t="s">
        <v>390</v>
      </c>
      <c r="D119" s="21" t="s">
        <v>125</v>
      </c>
      <c r="E119" s="16"/>
      <c r="F119" s="18" t="s">
        <v>298</v>
      </c>
      <c r="G119" s="18" t="s">
        <v>391</v>
      </c>
      <c r="H119" s="19" t="str">
        <f aca="false">Controlli_1!$L$134</f>
        <v>ok</v>
      </c>
      <c r="I119" s="0" t="n">
        <v>1</v>
      </c>
    </row>
    <row r="120" customFormat="false" ht="23.85" hidden="false" customHeight="false" outlineLevel="0" collapsed="false">
      <c r="A120" s="16" t="s">
        <v>392</v>
      </c>
      <c r="B120" s="16" t="s">
        <v>271</v>
      </c>
      <c r="C120" s="5" t="s">
        <v>393</v>
      </c>
      <c r="D120" s="21"/>
      <c r="E120" s="16" t="s">
        <v>234</v>
      </c>
      <c r="F120" s="18" t="s">
        <v>179</v>
      </c>
      <c r="G120" s="18" t="s">
        <v>145</v>
      </c>
      <c r="H120" s="19" t="str">
        <f aca="false">Controlli_1!$L$135</f>
        <v/>
      </c>
      <c r="I120" s="0" t="n">
        <v>1</v>
      </c>
    </row>
    <row r="121" customFormat="false" ht="23.85" hidden="false" customHeight="false" outlineLevel="0" collapsed="false">
      <c r="A121" s="16" t="s">
        <v>394</v>
      </c>
      <c r="B121" s="16" t="s">
        <v>271</v>
      </c>
      <c r="C121" s="5" t="s">
        <v>395</v>
      </c>
      <c r="D121" s="21"/>
      <c r="E121" s="16" t="s">
        <v>239</v>
      </c>
      <c r="F121" s="18" t="s">
        <v>179</v>
      </c>
      <c r="G121" s="18" t="s">
        <v>145</v>
      </c>
      <c r="H121" s="19" t="str">
        <f aca="false">Controlli_1!$L$136</f>
        <v/>
      </c>
      <c r="I121" s="0" t="n">
        <v>1</v>
      </c>
    </row>
    <row r="122" customFormat="false" ht="25.35" hidden="false" customHeight="false" outlineLevel="0" collapsed="false">
      <c r="A122" s="16" t="s">
        <v>396</v>
      </c>
      <c r="B122" s="16" t="s">
        <v>271</v>
      </c>
      <c r="C122" s="5" t="s">
        <v>397</v>
      </c>
      <c r="D122" s="21"/>
      <c r="E122" s="16"/>
      <c r="F122" s="18" t="s">
        <v>398</v>
      </c>
      <c r="G122" s="18" t="s">
        <v>399</v>
      </c>
      <c r="H122" s="19" t="str">
        <f aca="false">Controlli_1!$L$137</f>
        <v/>
      </c>
      <c r="I122" s="0" t="n">
        <v>1</v>
      </c>
    </row>
    <row r="123" customFormat="false" ht="15" hidden="false" customHeight="false" outlineLevel="0" collapsed="false">
      <c r="A123" s="16" t="s">
        <v>400</v>
      </c>
      <c r="B123" s="16" t="s">
        <v>271</v>
      </c>
      <c r="C123" s="5" t="s">
        <v>401</v>
      </c>
      <c r="D123" s="21"/>
      <c r="E123" s="16" t="s">
        <v>140</v>
      </c>
      <c r="F123" s="18" t="s">
        <v>402</v>
      </c>
      <c r="G123" s="18" t="s">
        <v>403</v>
      </c>
      <c r="H123" s="19" t="str">
        <f aca="false">Controlli_1!$L$138</f>
        <v/>
      </c>
      <c r="I123" s="0" t="n">
        <v>1</v>
      </c>
    </row>
    <row r="124" customFormat="false" ht="15" hidden="false" customHeight="false" outlineLevel="0" collapsed="false">
      <c r="A124" s="16" t="s">
        <v>404</v>
      </c>
      <c r="B124" s="16" t="s">
        <v>271</v>
      </c>
      <c r="C124" s="5" t="s">
        <v>405</v>
      </c>
      <c r="D124" s="21"/>
      <c r="E124" s="16" t="s">
        <v>140</v>
      </c>
      <c r="F124" s="18" t="s">
        <v>402</v>
      </c>
      <c r="G124" s="18" t="s">
        <v>276</v>
      </c>
      <c r="H124" s="19" t="str">
        <f aca="false">Controlli_1!$L$139</f>
        <v/>
      </c>
      <c r="I124" s="0" t="n">
        <v>1</v>
      </c>
    </row>
    <row r="125" customFormat="false" ht="15" hidden="false" customHeight="false" outlineLevel="0" collapsed="false">
      <c r="A125" s="16" t="s">
        <v>406</v>
      </c>
      <c r="B125" s="16" t="s">
        <v>271</v>
      </c>
      <c r="C125" s="5" t="s">
        <v>407</v>
      </c>
      <c r="D125" s="21"/>
      <c r="E125" s="16" t="s">
        <v>310</v>
      </c>
      <c r="F125" s="18" t="s">
        <v>402</v>
      </c>
      <c r="G125" s="18" t="s">
        <v>276</v>
      </c>
      <c r="H125" s="19" t="str">
        <f aca="false">Controlli_1!$L$140</f>
        <v/>
      </c>
      <c r="I125" s="0" t="n">
        <v>1</v>
      </c>
    </row>
    <row r="126" customFormat="false" ht="15" hidden="false" customHeight="false" outlineLevel="0" collapsed="false">
      <c r="A126" s="16" t="s">
        <v>408</v>
      </c>
      <c r="B126" s="16" t="s">
        <v>271</v>
      </c>
      <c r="C126" s="5" t="s">
        <v>409</v>
      </c>
      <c r="D126" s="21"/>
      <c r="E126" s="16" t="s">
        <v>140</v>
      </c>
      <c r="F126" s="18" t="s">
        <v>402</v>
      </c>
      <c r="G126" s="18" t="s">
        <v>276</v>
      </c>
      <c r="H126" s="19" t="str">
        <f aca="false">Controlli_1!$L$141</f>
        <v/>
      </c>
      <c r="I126" s="0" t="n">
        <v>1</v>
      </c>
    </row>
    <row r="127" customFormat="false" ht="15" hidden="false" customHeight="false" outlineLevel="0" collapsed="false">
      <c r="A127" s="16" t="s">
        <v>410</v>
      </c>
      <c r="B127" s="16" t="s">
        <v>271</v>
      </c>
      <c r="C127" s="5" t="s">
        <v>411</v>
      </c>
      <c r="D127" s="21"/>
      <c r="E127" s="16"/>
      <c r="F127" s="18" t="s">
        <v>402</v>
      </c>
      <c r="G127" s="18" t="s">
        <v>276</v>
      </c>
      <c r="H127" s="19" t="str">
        <f aca="false">Controlli_1!$L$142</f>
        <v/>
      </c>
      <c r="I127" s="0" t="n">
        <v>1</v>
      </c>
    </row>
    <row r="128" customFormat="false" ht="19.5" hidden="false" customHeight="true" outlineLevel="0" collapsed="false">
      <c r="A128" s="14" t="s">
        <v>412</v>
      </c>
      <c r="B128" s="14"/>
      <c r="C128" s="14"/>
      <c r="D128" s="14"/>
      <c r="E128" s="14"/>
      <c r="F128" s="14"/>
      <c r="G128" s="14"/>
      <c r="H128" s="14"/>
    </row>
    <row r="129" customFormat="false" ht="23.85" hidden="false" customHeight="false" outlineLevel="0" collapsed="false">
      <c r="A129" s="16" t="s">
        <v>413</v>
      </c>
      <c r="B129" s="16" t="s">
        <v>414</v>
      </c>
      <c r="C129" s="5" t="s">
        <v>415</v>
      </c>
      <c r="D129" s="21" t="s">
        <v>416</v>
      </c>
      <c r="E129" s="16"/>
      <c r="F129" s="18" t="s">
        <v>417</v>
      </c>
      <c r="G129" s="18" t="s">
        <v>418</v>
      </c>
      <c r="H129" s="19" t="str">
        <f aca="false">Controlli_1!$L$143</f>
        <v/>
      </c>
      <c r="I129" s="0" t="n">
        <v>1</v>
      </c>
    </row>
    <row r="130" customFormat="false" ht="15" hidden="false" customHeight="false" outlineLevel="0" collapsed="false">
      <c r="A130" s="16" t="s">
        <v>419</v>
      </c>
      <c r="B130" s="16" t="s">
        <v>414</v>
      </c>
      <c r="C130" s="5" t="s">
        <v>420</v>
      </c>
      <c r="D130" s="21"/>
      <c r="E130" s="16"/>
      <c r="F130" s="18" t="s">
        <v>421</v>
      </c>
      <c r="G130" s="18" t="s">
        <v>145</v>
      </c>
      <c r="H130" s="19" t="str">
        <f aca="false">Controlli_1!$L$144</f>
        <v/>
      </c>
      <c r="I130" s="0" t="n">
        <v>1</v>
      </c>
    </row>
    <row r="131" customFormat="false" ht="25.35" hidden="false" customHeight="false" outlineLevel="0" collapsed="false">
      <c r="A131" s="16" t="s">
        <v>422</v>
      </c>
      <c r="B131" s="16" t="s">
        <v>414</v>
      </c>
      <c r="C131" s="5" t="s">
        <v>423</v>
      </c>
      <c r="D131" s="21"/>
      <c r="E131" s="16" t="s">
        <v>310</v>
      </c>
      <c r="F131" s="18" t="s">
        <v>424</v>
      </c>
      <c r="G131" s="18" t="s">
        <v>145</v>
      </c>
      <c r="H131" s="19" t="str">
        <f aca="false">Controlli_1!$L$145</f>
        <v/>
      </c>
      <c r="I131" s="0" t="n">
        <v>1</v>
      </c>
    </row>
    <row r="132" customFormat="false" ht="23.85" hidden="false" customHeight="false" outlineLevel="0" collapsed="false">
      <c r="A132" s="16" t="s">
        <v>425</v>
      </c>
      <c r="B132" s="16" t="s">
        <v>414</v>
      </c>
      <c r="C132" s="5" t="s">
        <v>426</v>
      </c>
      <c r="D132" s="21"/>
      <c r="E132" s="16"/>
      <c r="F132" s="18" t="s">
        <v>427</v>
      </c>
      <c r="G132" s="18" t="s">
        <v>428</v>
      </c>
      <c r="H132" s="19" t="str">
        <f aca="false">Controlli_1!$L$146</f>
        <v/>
      </c>
      <c r="I132" s="0" t="n">
        <v>1</v>
      </c>
    </row>
    <row r="133" customFormat="false" ht="23.85" hidden="false" customHeight="false" outlineLevel="0" collapsed="false">
      <c r="A133" s="16" t="s">
        <v>429</v>
      </c>
      <c r="B133" s="16" t="s">
        <v>414</v>
      </c>
      <c r="C133" s="5" t="s">
        <v>430</v>
      </c>
      <c r="D133" s="21"/>
      <c r="E133" s="16"/>
      <c r="F133" s="18" t="s">
        <v>431</v>
      </c>
      <c r="G133" s="18" t="s">
        <v>432</v>
      </c>
      <c r="H133" s="19" t="str">
        <f aca="false">Controlli_1!$L$147</f>
        <v/>
      </c>
      <c r="I133" s="0" t="n">
        <v>1</v>
      </c>
    </row>
    <row r="134" customFormat="false" ht="23.85" hidden="false" customHeight="false" outlineLevel="0" collapsed="false">
      <c r="A134" s="16" t="s">
        <v>433</v>
      </c>
      <c r="B134" s="16" t="s">
        <v>414</v>
      </c>
      <c r="C134" s="5" t="s">
        <v>434</v>
      </c>
      <c r="D134" s="21"/>
      <c r="E134" s="16"/>
      <c r="F134" s="18" t="s">
        <v>435</v>
      </c>
      <c r="G134" s="18" t="s">
        <v>436</v>
      </c>
      <c r="H134" s="19" t="str">
        <f aca="false">Controlli_1!$L$148</f>
        <v/>
      </c>
      <c r="I134" s="0" t="n">
        <v>1</v>
      </c>
    </row>
    <row r="135" customFormat="false" ht="23.85" hidden="false" customHeight="false" outlineLevel="0" collapsed="false">
      <c r="A135" s="16" t="s">
        <v>437</v>
      </c>
      <c r="B135" s="16" t="s">
        <v>414</v>
      </c>
      <c r="C135" s="5" t="s">
        <v>438</v>
      </c>
      <c r="D135" s="21"/>
      <c r="E135" s="16"/>
      <c r="F135" s="18" t="s">
        <v>439</v>
      </c>
      <c r="G135" s="18" t="s">
        <v>440</v>
      </c>
      <c r="H135" s="19" t="str">
        <f aca="false">Controlli_1!$L$149</f>
        <v/>
      </c>
      <c r="I135" s="0" t="n">
        <v>1</v>
      </c>
    </row>
    <row r="136" customFormat="false" ht="23.85" hidden="false" customHeight="false" outlineLevel="0" collapsed="false">
      <c r="A136" s="16" t="s">
        <v>441</v>
      </c>
      <c r="B136" s="16" t="s">
        <v>414</v>
      </c>
      <c r="C136" s="5" t="s">
        <v>442</v>
      </c>
      <c r="D136" s="21"/>
      <c r="E136" s="16"/>
      <c r="F136" s="18" t="s">
        <v>443</v>
      </c>
      <c r="G136" s="18" t="s">
        <v>444</v>
      </c>
      <c r="H136" s="19" t="str">
        <f aca="false">Controlli_1!$L$150</f>
        <v/>
      </c>
      <c r="I136" s="0" t="n">
        <v>1</v>
      </c>
    </row>
    <row r="137" customFormat="false" ht="15" hidden="false" customHeight="false" outlineLevel="0" collapsed="false">
      <c r="A137" s="16" t="s">
        <v>445</v>
      </c>
      <c r="B137" s="16" t="s">
        <v>414</v>
      </c>
      <c r="C137" s="5" t="s">
        <v>446</v>
      </c>
      <c r="D137" s="21"/>
      <c r="E137" s="16"/>
      <c r="F137" s="18" t="s">
        <v>447</v>
      </c>
      <c r="G137" s="18" t="s">
        <v>448</v>
      </c>
      <c r="H137" s="19" t="str">
        <f aca="false">Controlli_1!$L$151</f>
        <v/>
      </c>
      <c r="I137" s="0" t="n">
        <v>1</v>
      </c>
    </row>
    <row r="138" customFormat="false" ht="15" hidden="false" customHeight="false" outlineLevel="0" collapsed="false">
      <c r="A138" s="16" t="s">
        <v>449</v>
      </c>
      <c r="B138" s="16" t="s">
        <v>414</v>
      </c>
      <c r="C138" s="5" t="s">
        <v>450</v>
      </c>
      <c r="D138" s="21"/>
      <c r="E138" s="16"/>
      <c r="F138" s="18" t="s">
        <v>447</v>
      </c>
      <c r="G138" s="18" t="s">
        <v>451</v>
      </c>
      <c r="H138" s="19" t="str">
        <f aca="false">Controlli_1!$L$152</f>
        <v/>
      </c>
      <c r="I138" s="0" t="n">
        <v>1</v>
      </c>
    </row>
    <row r="139" customFormat="false" ht="15" hidden="false" customHeight="false" outlineLevel="0" collapsed="false">
      <c r="A139" s="16" t="s">
        <v>452</v>
      </c>
      <c r="B139" s="16" t="s">
        <v>414</v>
      </c>
      <c r="C139" s="5" t="s">
        <v>453</v>
      </c>
      <c r="D139" s="21"/>
      <c r="E139" s="16"/>
      <c r="F139" s="18" t="s">
        <v>447</v>
      </c>
      <c r="G139" s="18" t="s">
        <v>451</v>
      </c>
      <c r="H139" s="19" t="str">
        <f aca="false">Controlli_1!$L$153</f>
        <v/>
      </c>
      <c r="I139" s="0" t="n">
        <v>1</v>
      </c>
    </row>
    <row r="140" customFormat="false" ht="15" hidden="false" customHeight="false" outlineLevel="0" collapsed="false">
      <c r="A140" s="16" t="s">
        <v>454</v>
      </c>
      <c r="B140" s="16" t="s">
        <v>414</v>
      </c>
      <c r="C140" s="5" t="s">
        <v>455</v>
      </c>
      <c r="D140" s="21"/>
      <c r="E140" s="16"/>
      <c r="F140" s="18" t="s">
        <v>447</v>
      </c>
      <c r="G140" s="18" t="s">
        <v>451</v>
      </c>
      <c r="H140" s="19" t="str">
        <f aca="false">Controlli_1!$L$154</f>
        <v/>
      </c>
      <c r="I140" s="0" t="n">
        <v>1</v>
      </c>
    </row>
    <row r="141" customFormat="false" ht="15" hidden="false" customHeight="false" outlineLevel="0" collapsed="false">
      <c r="A141" s="16" t="s">
        <v>456</v>
      </c>
      <c r="B141" s="16" t="s">
        <v>414</v>
      </c>
      <c r="C141" s="5" t="s">
        <v>457</v>
      </c>
      <c r="D141" s="21"/>
      <c r="E141" s="16"/>
      <c r="F141" s="18" t="s">
        <v>447</v>
      </c>
      <c r="G141" s="18" t="s">
        <v>458</v>
      </c>
      <c r="H141" s="19" t="str">
        <f aca="false">Controlli_1!$L$155</f>
        <v/>
      </c>
      <c r="I141" s="0" t="n">
        <v>1</v>
      </c>
    </row>
    <row r="142" customFormat="false" ht="15" hidden="false" customHeight="false" outlineLevel="0" collapsed="false">
      <c r="A142" s="16" t="s">
        <v>459</v>
      </c>
      <c r="B142" s="16" t="s">
        <v>414</v>
      </c>
      <c r="C142" s="5" t="s">
        <v>460</v>
      </c>
      <c r="D142" s="21"/>
      <c r="E142" s="16"/>
      <c r="F142" s="18" t="s">
        <v>447</v>
      </c>
      <c r="G142" s="18" t="s">
        <v>461</v>
      </c>
      <c r="H142" s="19" t="str">
        <f aca="false">Controlli_1!$L$156</f>
        <v/>
      </c>
      <c r="I142" s="0" t="n">
        <v>1</v>
      </c>
    </row>
    <row r="143" customFormat="false" ht="19.5" hidden="false" customHeight="true" outlineLevel="0" collapsed="false">
      <c r="A143" s="14" t="s">
        <v>462</v>
      </c>
      <c r="B143" s="14"/>
      <c r="C143" s="14"/>
      <c r="D143" s="14"/>
      <c r="E143" s="14"/>
      <c r="F143" s="14"/>
      <c r="G143" s="14"/>
      <c r="H143" s="14"/>
    </row>
    <row r="144" customFormat="false" ht="15" hidden="false" customHeight="false" outlineLevel="0" collapsed="false">
      <c r="A144" s="15" t="s">
        <v>463</v>
      </c>
      <c r="B144" s="15"/>
      <c r="C144" s="15"/>
      <c r="D144" s="15"/>
      <c r="E144" s="15"/>
      <c r="F144" s="15"/>
      <c r="G144" s="15"/>
      <c r="H144" s="15"/>
    </row>
    <row r="145" customFormat="false" ht="15" hidden="false" customHeight="false" outlineLevel="0" collapsed="false">
      <c r="A145" s="16" t="s">
        <v>464</v>
      </c>
      <c r="B145" s="16" t="s">
        <v>465</v>
      </c>
      <c r="C145" s="20" t="s">
        <v>466</v>
      </c>
      <c r="D145" s="21" t="s">
        <v>125</v>
      </c>
      <c r="E145" s="16"/>
      <c r="F145" s="18" t="s">
        <v>75</v>
      </c>
      <c r="G145" s="18" t="s">
        <v>467</v>
      </c>
      <c r="H145" s="19" t="str">
        <f aca="false">Controlli_1!$L$157</f>
        <v>ok</v>
      </c>
      <c r="I145" s="0" t="n">
        <v>1</v>
      </c>
    </row>
    <row r="146" customFormat="false" ht="15" hidden="false" customHeight="false" outlineLevel="0" collapsed="false">
      <c r="A146" s="16" t="s">
        <v>468</v>
      </c>
      <c r="B146" s="16" t="s">
        <v>465</v>
      </c>
      <c r="C146" s="5" t="s">
        <v>469</v>
      </c>
      <c r="D146" s="21"/>
      <c r="E146" s="16" t="s">
        <v>239</v>
      </c>
      <c r="F146" s="18" t="s">
        <v>465</v>
      </c>
      <c r="G146" s="18" t="s">
        <v>470</v>
      </c>
      <c r="H146" s="19" t="str">
        <f aca="false">Controlli_1!$L$158</f>
        <v/>
      </c>
      <c r="I146" s="24" t="n">
        <f aca="false">IF(Scheda_1!$D$145="Sì",1,0)</f>
        <v>0</v>
      </c>
    </row>
    <row r="147" customFormat="false" ht="15" hidden="false" customHeight="false" outlineLevel="0" collapsed="false">
      <c r="A147" s="16" t="s">
        <v>471</v>
      </c>
      <c r="B147" s="16" t="s">
        <v>465</v>
      </c>
      <c r="C147" s="5" t="s">
        <v>472</v>
      </c>
      <c r="D147" s="21"/>
      <c r="E147" s="16" t="s">
        <v>239</v>
      </c>
      <c r="F147" s="18" t="s">
        <v>465</v>
      </c>
      <c r="G147" s="18" t="s">
        <v>473</v>
      </c>
      <c r="H147" s="19" t="str">
        <f aca="false">Controlli_1!$L$159</f>
        <v/>
      </c>
      <c r="I147" s="24" t="n">
        <f aca="false">IF(Scheda_1!$D$145="Sì",1,0)</f>
        <v>0</v>
      </c>
    </row>
    <row r="148" customFormat="false" ht="15" hidden="false" customHeight="false" outlineLevel="0" collapsed="false">
      <c r="A148" s="16" t="s">
        <v>474</v>
      </c>
      <c r="B148" s="16" t="s">
        <v>465</v>
      </c>
      <c r="C148" s="5" t="s">
        <v>475</v>
      </c>
      <c r="D148" s="23" t="str">
        <f aca="false">IF(AND(ISNUMBER(Scheda_1!$D$92),ISNUMBER(Scheda_1!$D$147),Scheda_1!$D$92&gt;0),Scheda_1!$D$147/Scheda_1!$D$92,"")</f>
        <v/>
      </c>
      <c r="E148" s="16" t="s">
        <v>310</v>
      </c>
      <c r="F148" s="18" t="s">
        <v>43</v>
      </c>
      <c r="G148" s="18" t="s">
        <v>476</v>
      </c>
      <c r="H148" s="19" t="str">
        <f aca="false">Controlli_1!$L$160</f>
        <v/>
      </c>
      <c r="I148" s="24" t="n">
        <f aca="false">IF(Scheda_1!$D$145="Sì",1,0)</f>
        <v>0</v>
      </c>
    </row>
    <row r="149" customFormat="false" ht="15" hidden="false" customHeight="false" outlineLevel="0" collapsed="false">
      <c r="A149" s="16" t="s">
        <v>477</v>
      </c>
      <c r="B149" s="16" t="s">
        <v>465</v>
      </c>
      <c r="C149" s="5" t="s">
        <v>478</v>
      </c>
      <c r="D149" s="21"/>
      <c r="E149" s="16" t="s">
        <v>239</v>
      </c>
      <c r="F149" s="18" t="s">
        <v>465</v>
      </c>
      <c r="G149" s="18" t="s">
        <v>479</v>
      </c>
      <c r="H149" s="19" t="str">
        <f aca="false">Controlli_1!$L$161</f>
        <v/>
      </c>
      <c r="I149" s="24" t="n">
        <f aca="false">IF(Scheda_1!$D$145="Sì",1,0)</f>
        <v>0</v>
      </c>
    </row>
    <row r="150" customFormat="false" ht="15" hidden="false" customHeight="false" outlineLevel="0" collapsed="false">
      <c r="A150" s="16" t="s">
        <v>480</v>
      </c>
      <c r="B150" s="16" t="s">
        <v>465</v>
      </c>
      <c r="C150" s="5" t="s">
        <v>481</v>
      </c>
      <c r="D150" s="21"/>
      <c r="E150" s="16"/>
      <c r="F150" s="18" t="s">
        <v>465</v>
      </c>
      <c r="G150" s="18" t="s">
        <v>482</v>
      </c>
      <c r="H150" s="19" t="str">
        <f aca="false">Controlli_1!$L$162</f>
        <v/>
      </c>
      <c r="I150" s="24" t="n">
        <f aca="false">IF(Scheda_1!$D$145="Sì",1,0)</f>
        <v>0</v>
      </c>
    </row>
    <row r="151" customFormat="false" ht="25.35" hidden="false" customHeight="false" outlineLevel="0" collapsed="false">
      <c r="A151" s="16" t="s">
        <v>483</v>
      </c>
      <c r="B151" s="16" t="s">
        <v>465</v>
      </c>
      <c r="C151" s="5" t="s">
        <v>484</v>
      </c>
      <c r="D151" s="21"/>
      <c r="E151" s="16"/>
      <c r="F151" s="18" t="s">
        <v>465</v>
      </c>
      <c r="G151" s="18" t="s">
        <v>485</v>
      </c>
      <c r="H151" s="19" t="str">
        <f aca="false">Controlli_1!$L$163</f>
        <v/>
      </c>
      <c r="I151" s="24" t="n">
        <f aca="false">IF(Scheda_1!$D$145="Sì",1,0)</f>
        <v>0</v>
      </c>
    </row>
    <row r="152" customFormat="false" ht="23.85" hidden="false" customHeight="false" outlineLevel="0" collapsed="false">
      <c r="A152" s="16" t="s">
        <v>486</v>
      </c>
      <c r="B152" s="16" t="s">
        <v>465</v>
      </c>
      <c r="C152" s="5" t="s">
        <v>487</v>
      </c>
      <c r="D152" s="21"/>
      <c r="E152" s="16"/>
      <c r="F152" s="18" t="s">
        <v>465</v>
      </c>
      <c r="G152" s="18" t="s">
        <v>488</v>
      </c>
      <c r="H152" s="19" t="str">
        <f aca="false">Controlli_1!$L$164</f>
        <v/>
      </c>
      <c r="I152" s="24" t="n">
        <f aca="false">IF(Scheda_1!$D$145="Sì",1,0)</f>
        <v>0</v>
      </c>
    </row>
    <row r="153" customFormat="false" ht="15" hidden="false" customHeight="false" outlineLevel="0" collapsed="false">
      <c r="A153" s="16" t="s">
        <v>489</v>
      </c>
      <c r="B153" s="16" t="s">
        <v>465</v>
      </c>
      <c r="C153" s="5" t="s">
        <v>490</v>
      </c>
      <c r="D153" s="21"/>
      <c r="E153" s="16"/>
      <c r="F153" s="18" t="s">
        <v>465</v>
      </c>
      <c r="G153" s="18" t="s">
        <v>491</v>
      </c>
      <c r="H153" s="19" t="str">
        <f aca="false">Controlli_1!$L$165</f>
        <v/>
      </c>
      <c r="I153" s="24" t="n">
        <f aca="false">IF(Scheda_1!$D$145="Sì",1,0)</f>
        <v>0</v>
      </c>
    </row>
    <row r="154" customFormat="false" ht="15" hidden="false" customHeight="false" outlineLevel="0" collapsed="false">
      <c r="A154" s="16" t="s">
        <v>492</v>
      </c>
      <c r="B154" s="16" t="s">
        <v>465</v>
      </c>
      <c r="C154" s="5" t="s">
        <v>493</v>
      </c>
      <c r="D154" s="21"/>
      <c r="E154" s="16"/>
      <c r="F154" s="18" t="s">
        <v>465</v>
      </c>
      <c r="G154" s="18" t="s">
        <v>494</v>
      </c>
      <c r="H154" s="19" t="str">
        <f aca="false">Controlli_1!$L$166</f>
        <v/>
      </c>
      <c r="I154" s="24" t="n">
        <f aca="false">IF(Scheda_1!$D$145="Sì",1,0)</f>
        <v>0</v>
      </c>
    </row>
    <row r="155" customFormat="false" ht="15" hidden="false" customHeight="false" outlineLevel="0" collapsed="false">
      <c r="A155" s="16" t="s">
        <v>495</v>
      </c>
      <c r="B155" s="16" t="s">
        <v>465</v>
      </c>
      <c r="C155" s="5" t="s">
        <v>496</v>
      </c>
      <c r="D155" s="21"/>
      <c r="E155" s="16"/>
      <c r="F155" s="18" t="s">
        <v>465</v>
      </c>
      <c r="G155" s="18" t="s">
        <v>497</v>
      </c>
      <c r="H155" s="19" t="str">
        <f aca="false">Controlli_1!$L$167</f>
        <v/>
      </c>
      <c r="I155" s="24" t="n">
        <f aca="false">IF(Scheda_1!$D$145="Sì",1,0)</f>
        <v>0</v>
      </c>
    </row>
    <row r="156" customFormat="false" ht="15" hidden="false" customHeight="false" outlineLevel="0" collapsed="false">
      <c r="A156" s="16" t="s">
        <v>498</v>
      </c>
      <c r="B156" s="16" t="s">
        <v>465</v>
      </c>
      <c r="C156" s="5" t="s">
        <v>499</v>
      </c>
      <c r="D156" s="21"/>
      <c r="E156" s="16"/>
      <c r="F156" s="18" t="s">
        <v>465</v>
      </c>
      <c r="G156" s="18" t="s">
        <v>491</v>
      </c>
      <c r="H156" s="19" t="str">
        <f aca="false">Controlli_1!$L$168</f>
        <v/>
      </c>
      <c r="I156" s="24" t="n">
        <f aca="false">IF(Scheda_1!$D$145="Sì",1,0)</f>
        <v>0</v>
      </c>
    </row>
    <row r="157" customFormat="false" ht="15" hidden="false" customHeight="false" outlineLevel="0" collapsed="false">
      <c r="A157" s="16" t="s">
        <v>500</v>
      </c>
      <c r="B157" s="16" t="s">
        <v>465</v>
      </c>
      <c r="C157" s="5" t="s">
        <v>501</v>
      </c>
      <c r="D157" s="21"/>
      <c r="E157" s="16"/>
      <c r="F157" s="18" t="s">
        <v>465</v>
      </c>
      <c r="G157" s="18" t="s">
        <v>502</v>
      </c>
      <c r="H157" s="19" t="str">
        <f aca="false">Controlli_1!$L$169</f>
        <v/>
      </c>
      <c r="I157" s="24" t="n">
        <f aca="false">IF(Scheda_1!$D$145="Sì",1,0)</f>
        <v>0</v>
      </c>
    </row>
    <row r="158" customFormat="false" ht="15" hidden="false" customHeight="false" outlineLevel="0" collapsed="false">
      <c r="A158" s="16" t="s">
        <v>503</v>
      </c>
      <c r="B158" s="16" t="s">
        <v>465</v>
      </c>
      <c r="C158" s="5" t="s">
        <v>504</v>
      </c>
      <c r="D158" s="21"/>
      <c r="E158" s="16"/>
      <c r="F158" s="18" t="s">
        <v>465</v>
      </c>
      <c r="G158" s="18" t="s">
        <v>502</v>
      </c>
      <c r="H158" s="19" t="str">
        <f aca="false">Controlli_1!$L$170</f>
        <v/>
      </c>
      <c r="I158" s="24" t="n">
        <f aca="false">IF(Scheda_1!$D$145="Sì",1,0)</f>
        <v>0</v>
      </c>
    </row>
    <row r="159" customFormat="false" ht="15" hidden="false" customHeight="false" outlineLevel="0" collapsed="false">
      <c r="A159" s="16" t="s">
        <v>505</v>
      </c>
      <c r="B159" s="16" t="s">
        <v>465</v>
      </c>
      <c r="C159" s="5" t="s">
        <v>506</v>
      </c>
      <c r="D159" s="21"/>
      <c r="E159" s="16"/>
      <c r="F159" s="18" t="s">
        <v>507</v>
      </c>
      <c r="G159" s="18" t="s">
        <v>508</v>
      </c>
      <c r="H159" s="19" t="str">
        <f aca="false">Controlli_1!$L$171</f>
        <v/>
      </c>
      <c r="I159" s="24" t="n">
        <f aca="false">IF(Scheda_1!$D$145="Sì",1,0)</f>
        <v>0</v>
      </c>
    </row>
    <row r="160" customFormat="false" ht="15" hidden="false" customHeight="false" outlineLevel="0" collapsed="false">
      <c r="A160" s="16" t="s">
        <v>509</v>
      </c>
      <c r="B160" s="16" t="s">
        <v>465</v>
      </c>
      <c r="C160" s="5" t="s">
        <v>510</v>
      </c>
      <c r="D160" s="21"/>
      <c r="E160" s="16"/>
      <c r="F160" s="18" t="s">
        <v>511</v>
      </c>
      <c r="G160" s="18" t="s">
        <v>508</v>
      </c>
      <c r="H160" s="19" t="str">
        <f aca="false">Controlli_1!$L$172</f>
        <v/>
      </c>
      <c r="I160" s="24" t="n">
        <f aca="false">IF(Scheda_1!$D$145="Sì",1,0)</f>
        <v>0</v>
      </c>
    </row>
    <row r="161" customFormat="false" ht="15" hidden="false" customHeight="false" outlineLevel="0" collapsed="false">
      <c r="A161" s="16" t="s">
        <v>512</v>
      </c>
      <c r="B161" s="16" t="s">
        <v>465</v>
      </c>
      <c r="C161" s="5" t="s">
        <v>513</v>
      </c>
      <c r="D161" s="21"/>
      <c r="E161" s="16"/>
      <c r="F161" s="18" t="s">
        <v>507</v>
      </c>
      <c r="G161" s="18" t="s">
        <v>514</v>
      </c>
      <c r="H161" s="19" t="str">
        <f aca="false">Controlli_1!$L$173</f>
        <v/>
      </c>
      <c r="I161" s="24" t="n">
        <f aca="false">IF(Scheda_1!$D$145="Sì",1,0)</f>
        <v>0</v>
      </c>
    </row>
    <row r="162" customFormat="false" ht="15" hidden="false" customHeight="false" outlineLevel="0" collapsed="false">
      <c r="A162" s="16" t="s">
        <v>515</v>
      </c>
      <c r="B162" s="16" t="s">
        <v>465</v>
      </c>
      <c r="C162" s="5" t="s">
        <v>516</v>
      </c>
      <c r="D162" s="21"/>
      <c r="E162" s="16"/>
      <c r="F162" s="18" t="s">
        <v>507</v>
      </c>
      <c r="G162" s="18" t="s">
        <v>517</v>
      </c>
      <c r="H162" s="19" t="str">
        <f aca="false">Controlli_1!$L$174</f>
        <v/>
      </c>
      <c r="I162" s="24" t="n">
        <f aca="false">IF(Scheda_1!$D$145="Sì",1,0)</f>
        <v>0</v>
      </c>
    </row>
    <row r="163" customFormat="false" ht="25.35" hidden="false" customHeight="false" outlineLevel="0" collapsed="false">
      <c r="A163" s="16" t="s">
        <v>518</v>
      </c>
      <c r="B163" s="16" t="s">
        <v>465</v>
      </c>
      <c r="C163" s="5" t="s">
        <v>519</v>
      </c>
      <c r="D163" s="21"/>
      <c r="E163" s="16"/>
      <c r="F163" s="18" t="s">
        <v>507</v>
      </c>
      <c r="G163" s="18" t="s">
        <v>520</v>
      </c>
      <c r="H163" s="19" t="str">
        <f aca="false">Controlli_1!$L$175</f>
        <v/>
      </c>
      <c r="I163" s="24" t="n">
        <f aca="false">IF(Scheda_1!$D$145="Sì",1,0)</f>
        <v>0</v>
      </c>
    </row>
    <row r="164" customFormat="false" ht="15" hidden="false" customHeight="false" outlineLevel="0" collapsed="false">
      <c r="A164" s="16" t="s">
        <v>521</v>
      </c>
      <c r="B164" s="16" t="s">
        <v>465</v>
      </c>
      <c r="C164" s="5" t="s">
        <v>522</v>
      </c>
      <c r="D164" s="21"/>
      <c r="E164" s="16"/>
      <c r="F164" s="18" t="s">
        <v>507</v>
      </c>
      <c r="G164" s="18" t="s">
        <v>520</v>
      </c>
      <c r="H164" s="19" t="str">
        <f aca="false">Controlli_1!$L$176</f>
        <v/>
      </c>
      <c r="I164" s="24" t="n">
        <f aca="false">IF(Scheda_1!$D$145="Sì",1,0)</f>
        <v>0</v>
      </c>
    </row>
    <row r="165" customFormat="false" ht="15" hidden="false" customHeight="false" outlineLevel="0" collapsed="false">
      <c r="A165" s="16" t="s">
        <v>523</v>
      </c>
      <c r="B165" s="16" t="s">
        <v>465</v>
      </c>
      <c r="C165" s="5" t="s">
        <v>524</v>
      </c>
      <c r="D165" s="21"/>
      <c r="E165" s="16"/>
      <c r="F165" s="18" t="s">
        <v>507</v>
      </c>
      <c r="G165" s="18" t="s">
        <v>525</v>
      </c>
      <c r="H165" s="19" t="str">
        <f aca="false">Controlli_1!$L$177</f>
        <v/>
      </c>
      <c r="I165" s="24" t="n">
        <f aca="false">IF(Scheda_1!$D$145="Sì",1,0)</f>
        <v>0</v>
      </c>
    </row>
    <row r="166" customFormat="false" ht="15" hidden="false" customHeight="false" outlineLevel="0" collapsed="false">
      <c r="A166" s="16" t="s">
        <v>526</v>
      </c>
      <c r="B166" s="16" t="s">
        <v>465</v>
      </c>
      <c r="C166" s="5" t="s">
        <v>527</v>
      </c>
      <c r="D166" s="21"/>
      <c r="E166" s="16"/>
      <c r="F166" s="18" t="s">
        <v>507</v>
      </c>
      <c r="G166" s="18" t="s">
        <v>520</v>
      </c>
      <c r="H166" s="19" t="str">
        <f aca="false">Controlli_1!$L$178</f>
        <v/>
      </c>
      <c r="I166" s="24" t="n">
        <f aca="false">IF(Scheda_1!$D$145="Sì",1,0)</f>
        <v>0</v>
      </c>
    </row>
    <row r="167" customFormat="false" ht="25.35" hidden="false" customHeight="false" outlineLevel="0" collapsed="false">
      <c r="A167" s="16" t="s">
        <v>528</v>
      </c>
      <c r="B167" s="16" t="s">
        <v>465</v>
      </c>
      <c r="C167" s="5" t="s">
        <v>529</v>
      </c>
      <c r="D167" s="21"/>
      <c r="E167" s="16"/>
      <c r="F167" s="18" t="s">
        <v>507</v>
      </c>
      <c r="G167" s="18" t="s">
        <v>520</v>
      </c>
      <c r="H167" s="19" t="str">
        <f aca="false">Controlli_1!$L$179</f>
        <v/>
      </c>
      <c r="I167" s="24" t="n">
        <f aca="false">IF(Scheda_1!$D$145="Sì",1,0)</f>
        <v>0</v>
      </c>
    </row>
    <row r="168" customFormat="false" ht="25.35" hidden="false" customHeight="false" outlineLevel="0" collapsed="false">
      <c r="A168" s="16" t="s">
        <v>530</v>
      </c>
      <c r="B168" s="16" t="s">
        <v>465</v>
      </c>
      <c r="C168" s="5" t="s">
        <v>531</v>
      </c>
      <c r="D168" s="21"/>
      <c r="E168" s="16"/>
      <c r="F168" s="18" t="s">
        <v>532</v>
      </c>
      <c r="G168" s="18" t="s">
        <v>533</v>
      </c>
      <c r="H168" s="19" t="str">
        <f aca="false">Controlli_1!$L$180</f>
        <v/>
      </c>
      <c r="I168" s="24" t="n">
        <f aca="false">IF(Scheda_1!$D$145="Sì",1,0)</f>
        <v>0</v>
      </c>
    </row>
    <row r="169" customFormat="false" ht="23.85" hidden="false" customHeight="false" outlineLevel="0" collapsed="false">
      <c r="A169" s="16" t="s">
        <v>534</v>
      </c>
      <c r="B169" s="16" t="s">
        <v>465</v>
      </c>
      <c r="C169" s="5" t="s">
        <v>535</v>
      </c>
      <c r="D169" s="21"/>
      <c r="E169" s="16"/>
      <c r="F169" s="18" t="s">
        <v>532</v>
      </c>
      <c r="G169" s="18" t="s">
        <v>536</v>
      </c>
      <c r="H169" s="19" t="str">
        <f aca="false">Controlli_1!$L$181</f>
        <v/>
      </c>
      <c r="I169" s="24" t="n">
        <f aca="false">IF(Scheda_1!$D$145="Sì",1,0)</f>
        <v>0</v>
      </c>
    </row>
    <row r="170" customFormat="false" ht="19.5" hidden="false" customHeight="true" outlineLevel="0" collapsed="false">
      <c r="A170" s="14" t="s">
        <v>537</v>
      </c>
      <c r="B170" s="14"/>
      <c r="C170" s="14"/>
      <c r="D170" s="14"/>
      <c r="E170" s="14"/>
      <c r="F170" s="14"/>
      <c r="G170" s="14"/>
      <c r="H170" s="14"/>
    </row>
    <row r="171" customFormat="false" ht="15" hidden="false" customHeight="false" outlineLevel="0" collapsed="false">
      <c r="A171" s="16" t="s">
        <v>538</v>
      </c>
      <c r="B171" s="16" t="s">
        <v>539</v>
      </c>
      <c r="C171" s="20" t="s">
        <v>540</v>
      </c>
      <c r="D171" s="21" t="s">
        <v>125</v>
      </c>
      <c r="E171" s="16"/>
      <c r="F171" s="18" t="s">
        <v>75</v>
      </c>
      <c r="G171" s="18" t="s">
        <v>467</v>
      </c>
      <c r="H171" s="19" t="str">
        <f aca="false">Controlli_1!$L$182</f>
        <v>ok</v>
      </c>
      <c r="I171" s="0" t="n">
        <v>1</v>
      </c>
    </row>
    <row r="172" customFormat="false" ht="15" hidden="false" customHeight="false" outlineLevel="0" collapsed="false">
      <c r="A172" s="16" t="s">
        <v>541</v>
      </c>
      <c r="B172" s="16" t="s">
        <v>539</v>
      </c>
      <c r="C172" s="5" t="s">
        <v>542</v>
      </c>
      <c r="D172" s="21"/>
      <c r="E172" s="16"/>
      <c r="F172" s="18" t="s">
        <v>75</v>
      </c>
      <c r="G172" s="18" t="s">
        <v>543</v>
      </c>
      <c r="H172" s="19" t="str">
        <f aca="false">Controlli_1!$L$183</f>
        <v/>
      </c>
      <c r="I172" s="24" t="n">
        <f aca="false">IF(Scheda_1!$D$171="Sì",1,0)</f>
        <v>0</v>
      </c>
    </row>
    <row r="173" customFormat="false" ht="15" hidden="false" customHeight="false" outlineLevel="0" collapsed="false">
      <c r="A173" s="16" t="s">
        <v>544</v>
      </c>
      <c r="B173" s="16" t="s">
        <v>539</v>
      </c>
      <c r="C173" s="5" t="s">
        <v>545</v>
      </c>
      <c r="D173" s="21"/>
      <c r="E173" s="16"/>
      <c r="F173" s="18" t="s">
        <v>89</v>
      </c>
      <c r="G173" s="18" t="s">
        <v>546</v>
      </c>
      <c r="H173" s="19" t="str">
        <f aca="false">Controlli_1!$L$184</f>
        <v/>
      </c>
      <c r="I173" s="24" t="n">
        <f aca="false">IF(Scheda_1!$D$171="Sì",1,0)</f>
        <v>0</v>
      </c>
    </row>
    <row r="174" customFormat="false" ht="15" hidden="false" customHeight="false" outlineLevel="0" collapsed="false">
      <c r="A174" s="16" t="s">
        <v>547</v>
      </c>
      <c r="B174" s="16" t="s">
        <v>539</v>
      </c>
      <c r="C174" s="5" t="s">
        <v>548</v>
      </c>
      <c r="D174" s="21"/>
      <c r="E174" s="16"/>
      <c r="F174" s="18" t="s">
        <v>89</v>
      </c>
      <c r="G174" s="18" t="s">
        <v>549</v>
      </c>
      <c r="H174" s="19" t="str">
        <f aca="false">Controlli_1!$L$185</f>
        <v/>
      </c>
      <c r="I174" s="24" t="n">
        <f aca="false">IF(Scheda_1!$D$171="Sì",1,0)</f>
        <v>0</v>
      </c>
    </row>
    <row r="175" customFormat="false" ht="23.85" hidden="false" customHeight="false" outlineLevel="0" collapsed="false">
      <c r="A175" s="16" t="s">
        <v>550</v>
      </c>
      <c r="B175" s="16" t="s">
        <v>539</v>
      </c>
      <c r="C175" s="5" t="s">
        <v>551</v>
      </c>
      <c r="D175" s="21"/>
      <c r="E175" s="16" t="s">
        <v>234</v>
      </c>
      <c r="F175" s="18" t="s">
        <v>552</v>
      </c>
      <c r="G175" s="18" t="s">
        <v>553</v>
      </c>
      <c r="H175" s="19" t="str">
        <f aca="false">Controlli_1!$L$186</f>
        <v/>
      </c>
      <c r="I175" s="24" t="n">
        <f aca="false">IF(Scheda_1!$D$171="Sì",1,0)</f>
        <v>0</v>
      </c>
    </row>
    <row r="176" customFormat="false" ht="23.85" hidden="false" customHeight="false" outlineLevel="0" collapsed="false">
      <c r="A176" s="16" t="s">
        <v>554</v>
      </c>
      <c r="B176" s="16" t="s">
        <v>539</v>
      </c>
      <c r="C176" s="5" t="s">
        <v>555</v>
      </c>
      <c r="D176" s="21"/>
      <c r="E176" s="16" t="s">
        <v>140</v>
      </c>
      <c r="F176" s="18" t="s">
        <v>552</v>
      </c>
      <c r="G176" s="18" t="s">
        <v>556</v>
      </c>
      <c r="H176" s="19" t="str">
        <f aca="false">Controlli_1!$L$187</f>
        <v/>
      </c>
      <c r="I176" s="24" t="n">
        <f aca="false">IF(Scheda_1!$D$171="Sì",1,0)</f>
        <v>0</v>
      </c>
    </row>
    <row r="177" customFormat="false" ht="23.85" hidden="false" customHeight="false" outlineLevel="0" collapsed="false">
      <c r="A177" s="16" t="s">
        <v>557</v>
      </c>
      <c r="B177" s="16" t="s">
        <v>539</v>
      </c>
      <c r="C177" s="5" t="s">
        <v>558</v>
      </c>
      <c r="D177" s="21"/>
      <c r="E177" s="16" t="s">
        <v>140</v>
      </c>
      <c r="F177" s="18" t="s">
        <v>559</v>
      </c>
      <c r="G177" s="18" t="s">
        <v>556</v>
      </c>
      <c r="H177" s="19" t="str">
        <f aca="false">Controlli_1!$L$188</f>
        <v/>
      </c>
      <c r="I177" s="24" t="n">
        <f aca="false">IF(Scheda_1!$D$171="Sì",1,0)</f>
        <v>0</v>
      </c>
    </row>
    <row r="178" customFormat="false" ht="23.85" hidden="false" customHeight="false" outlineLevel="0" collapsed="false">
      <c r="A178" s="16" t="s">
        <v>560</v>
      </c>
      <c r="B178" s="16" t="s">
        <v>539</v>
      </c>
      <c r="C178" s="5" t="s">
        <v>561</v>
      </c>
      <c r="D178" s="21"/>
      <c r="E178" s="16"/>
      <c r="F178" s="18" t="s">
        <v>559</v>
      </c>
      <c r="G178" s="18" t="s">
        <v>556</v>
      </c>
      <c r="H178" s="19" t="str">
        <f aca="false">Controlli_1!$L$189</f>
        <v/>
      </c>
      <c r="I178" s="24" t="n">
        <f aca="false">IF(Scheda_1!$D$171="Sì",1,0)</f>
        <v>0</v>
      </c>
    </row>
    <row r="179" customFormat="false" ht="23.85" hidden="false" customHeight="false" outlineLevel="0" collapsed="false">
      <c r="A179" s="16" t="s">
        <v>562</v>
      </c>
      <c r="B179" s="16" t="s">
        <v>539</v>
      </c>
      <c r="C179" s="5" t="s">
        <v>563</v>
      </c>
      <c r="D179" s="22"/>
      <c r="E179" s="16"/>
      <c r="F179" s="18" t="s">
        <v>564</v>
      </c>
      <c r="G179" s="18" t="s">
        <v>565</v>
      </c>
      <c r="H179" s="19" t="str">
        <f aca="false">Controlli_1!$L$190</f>
        <v/>
      </c>
      <c r="I179" s="24" t="n">
        <f aca="false">IF(Scheda_1!$D$171="Sì",1,0)</f>
        <v>0</v>
      </c>
    </row>
    <row r="180" customFormat="false" ht="23.85" hidden="false" customHeight="false" outlineLevel="0" collapsed="false">
      <c r="A180" s="16" t="s">
        <v>566</v>
      </c>
      <c r="B180" s="16" t="s">
        <v>539</v>
      </c>
      <c r="C180" s="5" t="s">
        <v>567</v>
      </c>
      <c r="D180" s="21"/>
      <c r="E180" s="16"/>
      <c r="F180" s="18" t="s">
        <v>564</v>
      </c>
      <c r="G180" s="18" t="s">
        <v>568</v>
      </c>
      <c r="H180" s="19" t="str">
        <f aca="false">Controlli_1!$L$191</f>
        <v/>
      </c>
      <c r="I180" s="24" t="n">
        <f aca="false">IF(Scheda_1!$D$171="Sì",1,0)</f>
        <v>0</v>
      </c>
    </row>
    <row r="181" customFormat="false" ht="23.85" hidden="false" customHeight="false" outlineLevel="0" collapsed="false">
      <c r="A181" s="16" t="s">
        <v>569</v>
      </c>
      <c r="B181" s="16" t="s">
        <v>539</v>
      </c>
      <c r="C181" s="5" t="s">
        <v>570</v>
      </c>
      <c r="D181" s="21"/>
      <c r="E181" s="16"/>
      <c r="F181" s="18" t="s">
        <v>564</v>
      </c>
      <c r="G181" s="18" t="s">
        <v>571</v>
      </c>
      <c r="H181" s="19" t="str">
        <f aca="false">Controlli_1!$L$192</f>
        <v/>
      </c>
      <c r="I181" s="24" t="n">
        <f aca="false">IF(Scheda_1!$D$171="Sì",1,0)</f>
        <v>0</v>
      </c>
    </row>
    <row r="182" customFormat="false" ht="23.85" hidden="false" customHeight="false" outlineLevel="0" collapsed="false">
      <c r="A182" s="16" t="s">
        <v>572</v>
      </c>
      <c r="B182" s="16" t="s">
        <v>539</v>
      </c>
      <c r="C182" s="5" t="s">
        <v>573</v>
      </c>
      <c r="D182" s="21"/>
      <c r="E182" s="16"/>
      <c r="F182" s="18" t="s">
        <v>564</v>
      </c>
      <c r="G182" s="18" t="s">
        <v>574</v>
      </c>
      <c r="H182" s="19" t="str">
        <f aca="false">Controlli_1!$L$193</f>
        <v/>
      </c>
      <c r="I182" s="24" t="n">
        <f aca="false">IF(Scheda_1!$D$171="Sì",1,0)</f>
        <v>0</v>
      </c>
    </row>
    <row r="183" customFormat="false" ht="23.85" hidden="false" customHeight="false" outlineLevel="0" collapsed="false">
      <c r="A183" s="16" t="s">
        <v>575</v>
      </c>
      <c r="B183" s="16" t="s">
        <v>539</v>
      </c>
      <c r="C183" s="5" t="s">
        <v>576</v>
      </c>
      <c r="D183" s="21"/>
      <c r="E183" s="16"/>
      <c r="F183" s="18" t="s">
        <v>564</v>
      </c>
      <c r="G183" s="18" t="s">
        <v>568</v>
      </c>
      <c r="H183" s="19" t="str">
        <f aca="false">Controlli_1!$L$194</f>
        <v/>
      </c>
      <c r="I183" s="24" t="n">
        <f aca="false">IF(Scheda_1!$D$171="Sì",1,0)</f>
        <v>0</v>
      </c>
    </row>
    <row r="184" customFormat="false" ht="23.85" hidden="false" customHeight="false" outlineLevel="0" collapsed="false">
      <c r="A184" s="16" t="s">
        <v>577</v>
      </c>
      <c r="B184" s="16" t="s">
        <v>539</v>
      </c>
      <c r="C184" s="5" t="s">
        <v>578</v>
      </c>
      <c r="D184" s="21"/>
      <c r="E184" s="16"/>
      <c r="F184" s="18" t="s">
        <v>564</v>
      </c>
      <c r="G184" s="18" t="s">
        <v>579</v>
      </c>
      <c r="H184" s="19" t="str">
        <f aca="false">Controlli_1!$L$195</f>
        <v/>
      </c>
      <c r="I184" s="24" t="n">
        <f aca="false">IF(Scheda_1!$D$171="Sì",1,0)</f>
        <v>0</v>
      </c>
    </row>
    <row r="185" customFormat="false" ht="23.85" hidden="false" customHeight="false" outlineLevel="0" collapsed="false">
      <c r="A185" s="16" t="s">
        <v>580</v>
      </c>
      <c r="B185" s="16" t="s">
        <v>539</v>
      </c>
      <c r="C185" s="5" t="s">
        <v>581</v>
      </c>
      <c r="D185" s="21"/>
      <c r="E185" s="16" t="s">
        <v>140</v>
      </c>
      <c r="F185" s="18" t="s">
        <v>564</v>
      </c>
      <c r="G185" s="18" t="s">
        <v>582</v>
      </c>
      <c r="H185" s="19" t="str">
        <f aca="false">Controlli_1!$L$196</f>
        <v/>
      </c>
      <c r="I185" s="24" t="n">
        <f aca="false">IF(Scheda_1!$D$171="Sì",1,0)</f>
        <v>0</v>
      </c>
    </row>
    <row r="186" customFormat="false" ht="23.85" hidden="false" customHeight="false" outlineLevel="0" collapsed="false">
      <c r="A186" s="16" t="s">
        <v>583</v>
      </c>
      <c r="B186" s="16" t="s">
        <v>539</v>
      </c>
      <c r="C186" s="5" t="s">
        <v>584</v>
      </c>
      <c r="D186" s="21"/>
      <c r="E186" s="16" t="s">
        <v>140</v>
      </c>
      <c r="F186" s="18" t="s">
        <v>564</v>
      </c>
      <c r="G186" s="18" t="s">
        <v>574</v>
      </c>
      <c r="H186" s="19" t="str">
        <f aca="false">Controlli_1!$L$197</f>
        <v/>
      </c>
      <c r="I186" s="24" t="n">
        <f aca="false">IF(Scheda_1!$D$171="Sì",1,0)</f>
        <v>0</v>
      </c>
    </row>
    <row r="187" customFormat="false" ht="23.85" hidden="false" customHeight="false" outlineLevel="0" collapsed="false">
      <c r="A187" s="16" t="s">
        <v>585</v>
      </c>
      <c r="B187" s="16" t="s">
        <v>539</v>
      </c>
      <c r="C187" s="5" t="s">
        <v>586</v>
      </c>
      <c r="D187" s="21"/>
      <c r="E187" s="16" t="s">
        <v>140</v>
      </c>
      <c r="F187" s="18" t="s">
        <v>564</v>
      </c>
      <c r="G187" s="18" t="s">
        <v>574</v>
      </c>
      <c r="H187" s="19" t="str">
        <f aca="false">Controlli_1!$L$198</f>
        <v/>
      </c>
      <c r="I187" s="24" t="n">
        <f aca="false">IF(Scheda_1!$D$171="Sì",1,0)</f>
        <v>0</v>
      </c>
    </row>
    <row r="188" customFormat="false" ht="23.85" hidden="false" customHeight="false" outlineLevel="0" collapsed="false">
      <c r="A188" s="16" t="s">
        <v>587</v>
      </c>
      <c r="B188" s="16" t="s">
        <v>539</v>
      </c>
      <c r="C188" s="5" t="s">
        <v>588</v>
      </c>
      <c r="D188" s="21"/>
      <c r="E188" s="16" t="s">
        <v>140</v>
      </c>
      <c r="F188" s="18" t="s">
        <v>564</v>
      </c>
      <c r="G188" s="18" t="s">
        <v>574</v>
      </c>
      <c r="H188" s="19" t="str">
        <f aca="false">Controlli_1!$L$199</f>
        <v/>
      </c>
      <c r="I188" s="24" t="n">
        <f aca="false">IF(Scheda_1!$D$171="Sì",1,0)</f>
        <v>0</v>
      </c>
    </row>
    <row r="189" customFormat="false" ht="23.85" hidden="false" customHeight="false" outlineLevel="0" collapsed="false">
      <c r="A189" s="16" t="s">
        <v>589</v>
      </c>
      <c r="B189" s="16" t="s">
        <v>539</v>
      </c>
      <c r="C189" s="5" t="s">
        <v>590</v>
      </c>
      <c r="D189" s="21"/>
      <c r="E189" s="16"/>
      <c r="F189" s="18" t="s">
        <v>591</v>
      </c>
      <c r="G189" s="18" t="s">
        <v>592</v>
      </c>
      <c r="H189" s="19" t="str">
        <f aca="false">Controlli_1!$L$200</f>
        <v/>
      </c>
      <c r="I189" s="24" t="n">
        <f aca="false">IF(Scheda_1!$D$171="Sì",1,0)</f>
        <v>0</v>
      </c>
    </row>
    <row r="190" customFormat="false" ht="25.35" hidden="false" customHeight="false" outlineLevel="0" collapsed="false">
      <c r="A190" s="16" t="s">
        <v>593</v>
      </c>
      <c r="B190" s="16" t="s">
        <v>539</v>
      </c>
      <c r="C190" s="5" t="s">
        <v>594</v>
      </c>
      <c r="D190" s="21"/>
      <c r="E190" s="16" t="s">
        <v>310</v>
      </c>
      <c r="F190" s="18" t="s">
        <v>591</v>
      </c>
      <c r="G190" s="18" t="s">
        <v>595</v>
      </c>
      <c r="H190" s="19" t="str">
        <f aca="false">Controlli_1!$L$201</f>
        <v/>
      </c>
      <c r="I190" s="24" t="n">
        <f aca="false">IF(Scheda_1!$D$171="Sì",1,0)</f>
        <v>0</v>
      </c>
    </row>
    <row r="191" customFormat="false" ht="19.5" hidden="false" customHeight="true" outlineLevel="0" collapsed="false">
      <c r="A191" s="14" t="s">
        <v>596</v>
      </c>
      <c r="B191" s="14"/>
      <c r="C191" s="14"/>
      <c r="D191" s="14"/>
      <c r="E191" s="14"/>
      <c r="F191" s="14"/>
      <c r="G191" s="14"/>
      <c r="H191" s="14"/>
    </row>
    <row r="192" customFormat="false" ht="15" hidden="false" customHeight="false" outlineLevel="0" collapsed="false">
      <c r="A192" s="15" t="s">
        <v>597</v>
      </c>
      <c r="B192" s="15"/>
      <c r="C192" s="15"/>
      <c r="D192" s="15"/>
      <c r="E192" s="15"/>
      <c r="F192" s="15"/>
      <c r="G192" s="15"/>
      <c r="H192" s="15"/>
    </row>
    <row r="193" customFormat="false" ht="15" hidden="false" customHeight="false" outlineLevel="0" collapsed="false">
      <c r="A193" s="16" t="s">
        <v>598</v>
      </c>
      <c r="B193" s="16" t="s">
        <v>599</v>
      </c>
      <c r="C193" s="20" t="s">
        <v>600</v>
      </c>
      <c r="D193" s="21" t="s">
        <v>125</v>
      </c>
      <c r="E193" s="16"/>
      <c r="F193" s="18" t="s">
        <v>75</v>
      </c>
      <c r="G193" s="18" t="s">
        <v>467</v>
      </c>
      <c r="H193" s="19" t="str">
        <f aca="false">Controlli_1!$L$202</f>
        <v>ok</v>
      </c>
      <c r="I193" s="0" t="n">
        <v>1</v>
      </c>
    </row>
    <row r="194" customFormat="false" ht="15" hidden="false" customHeight="false" outlineLevel="0" collapsed="false">
      <c r="A194" s="16" t="s">
        <v>601</v>
      </c>
      <c r="B194" s="16" t="s">
        <v>599</v>
      </c>
      <c r="C194" s="5" t="s">
        <v>602</v>
      </c>
      <c r="D194" s="21"/>
      <c r="E194" s="16"/>
      <c r="F194" s="18" t="s">
        <v>89</v>
      </c>
      <c r="G194" s="18" t="s">
        <v>603</v>
      </c>
      <c r="H194" s="19" t="str">
        <f aca="false">Controlli_1!$L$203</f>
        <v/>
      </c>
      <c r="I194" s="24" t="n">
        <f aca="false">IF(Scheda_1!$D$193="Sì",1,0)</f>
        <v>0</v>
      </c>
    </row>
    <row r="195" customFormat="false" ht="23.85" hidden="false" customHeight="false" outlineLevel="0" collapsed="false">
      <c r="A195" s="16" t="s">
        <v>604</v>
      </c>
      <c r="B195" s="16" t="s">
        <v>599</v>
      </c>
      <c r="C195" s="5" t="s">
        <v>605</v>
      </c>
      <c r="D195" s="21"/>
      <c r="E195" s="16"/>
      <c r="F195" s="18" t="s">
        <v>606</v>
      </c>
      <c r="G195" s="18" t="s">
        <v>603</v>
      </c>
      <c r="H195" s="19" t="str">
        <f aca="false">Controlli_1!$L$204</f>
        <v/>
      </c>
      <c r="I195" s="24" t="n">
        <f aca="false">IF(Scheda_1!$D$193="Sì",1,0)</f>
        <v>0</v>
      </c>
    </row>
    <row r="196" customFormat="false" ht="15" hidden="false" customHeight="false" outlineLevel="0" collapsed="false">
      <c r="A196" s="16" t="s">
        <v>607</v>
      </c>
      <c r="B196" s="16" t="s">
        <v>599</v>
      </c>
      <c r="C196" s="5" t="s">
        <v>608</v>
      </c>
      <c r="D196" s="21"/>
      <c r="E196" s="16" t="s">
        <v>239</v>
      </c>
      <c r="F196" s="18" t="s">
        <v>89</v>
      </c>
      <c r="G196" s="18" t="s">
        <v>609</v>
      </c>
      <c r="H196" s="19" t="str">
        <f aca="false">Controlli_1!$L$205</f>
        <v/>
      </c>
      <c r="I196" s="24" t="n">
        <f aca="false">IF(Scheda_1!$D$193="Sì",1,0)</f>
        <v>0</v>
      </c>
    </row>
    <row r="197" customFormat="false" ht="15" hidden="false" customHeight="false" outlineLevel="0" collapsed="false">
      <c r="A197" s="16" t="s">
        <v>610</v>
      </c>
      <c r="B197" s="16" t="s">
        <v>599</v>
      </c>
      <c r="C197" s="5" t="s">
        <v>611</v>
      </c>
      <c r="D197" s="21"/>
      <c r="E197" s="16" t="s">
        <v>234</v>
      </c>
      <c r="F197" s="18" t="s">
        <v>89</v>
      </c>
      <c r="G197" s="18" t="s">
        <v>612</v>
      </c>
      <c r="H197" s="19" t="str">
        <f aca="false">Controlli_1!$L$206</f>
        <v/>
      </c>
      <c r="I197" s="24" t="n">
        <f aca="false">IF(Scheda_1!$D$193="Sì",1,0)</f>
        <v>0</v>
      </c>
    </row>
    <row r="198" customFormat="false" ht="15" hidden="false" customHeight="false" outlineLevel="0" collapsed="false">
      <c r="A198" s="16" t="s">
        <v>613</v>
      </c>
      <c r="B198" s="16" t="s">
        <v>599</v>
      </c>
      <c r="C198" s="5" t="s">
        <v>614</v>
      </c>
      <c r="D198" s="21"/>
      <c r="E198" s="16" t="s">
        <v>234</v>
      </c>
      <c r="F198" s="18" t="s">
        <v>89</v>
      </c>
      <c r="G198" s="18" t="s">
        <v>612</v>
      </c>
      <c r="H198" s="19" t="str">
        <f aca="false">Controlli_1!$L$207</f>
        <v/>
      </c>
      <c r="I198" s="24" t="n">
        <f aca="false">IF(Scheda_1!$D$193="Sì",1,0)</f>
        <v>0</v>
      </c>
    </row>
    <row r="199" customFormat="false" ht="15" hidden="false" customHeight="false" outlineLevel="0" collapsed="false">
      <c r="A199" s="16" t="s">
        <v>615</v>
      </c>
      <c r="B199" s="16" t="s">
        <v>599</v>
      </c>
      <c r="C199" s="5" t="s">
        <v>616</v>
      </c>
      <c r="D199" s="21"/>
      <c r="E199" s="16" t="s">
        <v>617</v>
      </c>
      <c r="F199" s="18" t="s">
        <v>89</v>
      </c>
      <c r="G199" s="18" t="s">
        <v>618</v>
      </c>
      <c r="H199" s="19" t="str">
        <f aca="false">Controlli_1!$L$208</f>
        <v/>
      </c>
      <c r="I199" s="24" t="n">
        <f aca="false">IF(Scheda_1!$D$193="Sì",1,0)</f>
        <v>0</v>
      </c>
    </row>
    <row r="200" customFormat="false" ht="23.85" hidden="false" customHeight="false" outlineLevel="0" collapsed="false">
      <c r="A200" s="16" t="s">
        <v>619</v>
      </c>
      <c r="B200" s="16" t="s">
        <v>599</v>
      </c>
      <c r="C200" s="5" t="s">
        <v>620</v>
      </c>
      <c r="D200" s="21"/>
      <c r="E200" s="16" t="s">
        <v>293</v>
      </c>
      <c r="F200" s="18" t="s">
        <v>621</v>
      </c>
      <c r="G200" s="18" t="s">
        <v>622</v>
      </c>
      <c r="H200" s="19" t="str">
        <f aca="false">Controlli_1!$L$209</f>
        <v/>
      </c>
      <c r="I200" s="24" t="n">
        <f aca="false">IF(Scheda_1!$D$193="Sì",1,0)</f>
        <v>0</v>
      </c>
    </row>
    <row r="201" customFormat="false" ht="23.85" hidden="false" customHeight="false" outlineLevel="0" collapsed="false">
      <c r="A201" s="16" t="s">
        <v>623</v>
      </c>
      <c r="B201" s="16" t="s">
        <v>599</v>
      </c>
      <c r="C201" s="5" t="s">
        <v>624</v>
      </c>
      <c r="D201" s="21"/>
      <c r="E201" s="16" t="s">
        <v>234</v>
      </c>
      <c r="F201" s="18" t="s">
        <v>621</v>
      </c>
      <c r="G201" s="18" t="s">
        <v>625</v>
      </c>
      <c r="H201" s="19" t="str">
        <f aca="false">Controlli_1!$L$210</f>
        <v/>
      </c>
      <c r="I201" s="24" t="n">
        <f aca="false">IF(Scheda_1!$D$193="Sì",1,0)</f>
        <v>0</v>
      </c>
    </row>
    <row r="202" customFormat="false" ht="23.85" hidden="false" customHeight="false" outlineLevel="0" collapsed="false">
      <c r="A202" s="16" t="s">
        <v>626</v>
      </c>
      <c r="B202" s="16" t="s">
        <v>599</v>
      </c>
      <c r="C202" s="5" t="s">
        <v>627</v>
      </c>
      <c r="D202" s="21"/>
      <c r="E202" s="16" t="s">
        <v>234</v>
      </c>
      <c r="F202" s="18" t="s">
        <v>621</v>
      </c>
      <c r="G202" s="18" t="s">
        <v>625</v>
      </c>
      <c r="H202" s="19" t="str">
        <f aca="false">Controlli_1!$L$211</f>
        <v/>
      </c>
      <c r="I202" s="24" t="n">
        <f aca="false">IF(Scheda_1!$D$193="Sì",1,0)</f>
        <v>0</v>
      </c>
    </row>
    <row r="203" customFormat="false" ht="23.85" hidden="false" customHeight="false" outlineLevel="0" collapsed="false">
      <c r="A203" s="16" t="s">
        <v>628</v>
      </c>
      <c r="B203" s="16" t="s">
        <v>599</v>
      </c>
      <c r="C203" s="5" t="s">
        <v>629</v>
      </c>
      <c r="D203" s="21"/>
      <c r="E203" s="16" t="s">
        <v>234</v>
      </c>
      <c r="F203" s="18" t="s">
        <v>621</v>
      </c>
      <c r="G203" s="18" t="s">
        <v>625</v>
      </c>
      <c r="H203" s="19" t="str">
        <f aca="false">Controlli_1!$L$212</f>
        <v/>
      </c>
      <c r="I203" s="24" t="n">
        <f aca="false">IF(Scheda_1!$D$193="Sì",1,0)</f>
        <v>0</v>
      </c>
    </row>
    <row r="204" customFormat="false" ht="23.85" hidden="false" customHeight="false" outlineLevel="0" collapsed="false">
      <c r="A204" s="16" t="s">
        <v>630</v>
      </c>
      <c r="B204" s="16" t="s">
        <v>599</v>
      </c>
      <c r="C204" s="5" t="s">
        <v>631</v>
      </c>
      <c r="D204" s="21"/>
      <c r="E204" s="16"/>
      <c r="F204" s="18" t="s">
        <v>621</v>
      </c>
      <c r="G204" s="18" t="s">
        <v>625</v>
      </c>
      <c r="H204" s="19" t="str">
        <f aca="false">Controlli_1!$L$213</f>
        <v/>
      </c>
      <c r="I204" s="24" t="n">
        <f aca="false">IF(Scheda_1!$D$193="Sì",1,0)</f>
        <v>0</v>
      </c>
    </row>
    <row r="205" customFormat="false" ht="19.5" hidden="false" customHeight="true" outlineLevel="0" collapsed="false">
      <c r="A205" s="14" t="s">
        <v>632</v>
      </c>
      <c r="B205" s="14"/>
      <c r="C205" s="14"/>
      <c r="D205" s="14"/>
      <c r="E205" s="14"/>
      <c r="F205" s="14"/>
      <c r="G205" s="14"/>
      <c r="H205" s="14"/>
    </row>
    <row r="206" customFormat="false" ht="15" hidden="false" customHeight="false" outlineLevel="0" collapsed="false">
      <c r="A206" s="16" t="s">
        <v>633</v>
      </c>
      <c r="B206" s="16" t="s">
        <v>634</v>
      </c>
      <c r="C206" s="20" t="s">
        <v>635</v>
      </c>
      <c r="D206" s="21" t="s">
        <v>125</v>
      </c>
      <c r="E206" s="16"/>
      <c r="F206" s="18" t="s">
        <v>75</v>
      </c>
      <c r="G206" s="18" t="s">
        <v>467</v>
      </c>
      <c r="H206" s="19" t="str">
        <f aca="false">Controlli_1!$L$214</f>
        <v>ok</v>
      </c>
      <c r="I206" s="0" t="n">
        <v>1</v>
      </c>
    </row>
    <row r="207" customFormat="false" ht="23.85" hidden="false" customHeight="false" outlineLevel="0" collapsed="false">
      <c r="A207" s="16" t="s">
        <v>636</v>
      </c>
      <c r="B207" s="16" t="s">
        <v>634</v>
      </c>
      <c r="C207" s="5" t="s">
        <v>637</v>
      </c>
      <c r="D207" s="21"/>
      <c r="E207" s="16"/>
      <c r="F207" s="18" t="s">
        <v>89</v>
      </c>
      <c r="G207" s="18" t="s">
        <v>638</v>
      </c>
      <c r="H207" s="19" t="str">
        <f aca="false">Controlli_1!$L$215</f>
        <v/>
      </c>
      <c r="I207" s="24" t="n">
        <f aca="false">IF(Scheda_1!$D$206="Sì",1,0)</f>
        <v>0</v>
      </c>
    </row>
    <row r="208" customFormat="false" ht="15" hidden="false" customHeight="false" outlineLevel="0" collapsed="false">
      <c r="A208" s="16" t="s">
        <v>639</v>
      </c>
      <c r="B208" s="16" t="s">
        <v>634</v>
      </c>
      <c r="C208" s="5" t="s">
        <v>640</v>
      </c>
      <c r="D208" s="21"/>
      <c r="E208" s="16"/>
      <c r="F208" s="18" t="s">
        <v>89</v>
      </c>
      <c r="G208" s="18" t="s">
        <v>641</v>
      </c>
      <c r="H208" s="19" t="str">
        <f aca="false">Controlli_1!$L$216</f>
        <v/>
      </c>
      <c r="I208" s="24" t="n">
        <f aca="false">IF(Scheda_1!$D$206="Sì",1,0)</f>
        <v>0</v>
      </c>
    </row>
    <row r="209" customFormat="false" ht="15" hidden="false" customHeight="false" outlineLevel="0" collapsed="false">
      <c r="A209" s="16" t="s">
        <v>642</v>
      </c>
      <c r="B209" s="16" t="s">
        <v>634</v>
      </c>
      <c r="C209" s="5" t="s">
        <v>643</v>
      </c>
      <c r="D209" s="21"/>
      <c r="E209" s="16"/>
      <c r="F209" s="18" t="s">
        <v>89</v>
      </c>
      <c r="G209" s="18" t="s">
        <v>644</v>
      </c>
      <c r="H209" s="19" t="str">
        <f aca="false">Controlli_1!$L$217</f>
        <v/>
      </c>
      <c r="I209" s="24" t="n">
        <f aca="false">IF(Scheda_1!$D$206="Sì",1,0)</f>
        <v>0</v>
      </c>
    </row>
    <row r="210" customFormat="false" ht="15" hidden="false" customHeight="false" outlineLevel="0" collapsed="false">
      <c r="A210" s="16" t="s">
        <v>645</v>
      </c>
      <c r="B210" s="16" t="s">
        <v>634</v>
      </c>
      <c r="C210" s="5" t="s">
        <v>646</v>
      </c>
      <c r="D210" s="21"/>
      <c r="E210" s="16"/>
      <c r="F210" s="18" t="s">
        <v>89</v>
      </c>
      <c r="G210" s="18" t="s">
        <v>641</v>
      </c>
      <c r="H210" s="19" t="str">
        <f aca="false">Controlli_1!$L$218</f>
        <v/>
      </c>
      <c r="I210" s="24" t="n">
        <f aca="false">IF(Scheda_1!$D$206="Sì",1,0)</f>
        <v>0</v>
      </c>
    </row>
    <row r="211" customFormat="false" ht="15" hidden="false" customHeight="false" outlineLevel="0" collapsed="false">
      <c r="A211" s="16" t="s">
        <v>647</v>
      </c>
      <c r="B211" s="16" t="s">
        <v>634</v>
      </c>
      <c r="C211" s="5" t="s">
        <v>648</v>
      </c>
      <c r="D211" s="21"/>
      <c r="E211" s="16"/>
      <c r="F211" s="18" t="s">
        <v>89</v>
      </c>
      <c r="G211" s="18" t="s">
        <v>641</v>
      </c>
      <c r="H211" s="19" t="str">
        <f aca="false">Controlli_1!$L$219</f>
        <v/>
      </c>
      <c r="I211" s="24" t="n">
        <f aca="false">IF(Scheda_1!$D$206="Sì",1,0)</f>
        <v>0</v>
      </c>
    </row>
    <row r="212" customFormat="false" ht="15" hidden="false" customHeight="false" outlineLevel="0" collapsed="false">
      <c r="A212" s="16" t="s">
        <v>649</v>
      </c>
      <c r="B212" s="16" t="s">
        <v>634</v>
      </c>
      <c r="C212" s="5" t="s">
        <v>650</v>
      </c>
      <c r="D212" s="21"/>
      <c r="E212" s="16"/>
      <c r="F212" s="18" t="s">
        <v>89</v>
      </c>
      <c r="G212" s="18" t="s">
        <v>641</v>
      </c>
      <c r="H212" s="19" t="str">
        <f aca="false">Controlli_1!$L$220</f>
        <v/>
      </c>
      <c r="I212" s="24" t="n">
        <f aca="false">IF(Scheda_1!$D$206="Sì",1,0)</f>
        <v>0</v>
      </c>
    </row>
    <row r="213" customFormat="false" ht="15" hidden="false" customHeight="false" outlineLevel="0" collapsed="false">
      <c r="A213" s="16" t="s">
        <v>651</v>
      </c>
      <c r="B213" s="16" t="s">
        <v>634</v>
      </c>
      <c r="C213" s="5" t="s">
        <v>652</v>
      </c>
      <c r="D213" s="21"/>
      <c r="E213" s="16"/>
      <c r="F213" s="18" t="s">
        <v>89</v>
      </c>
      <c r="G213" s="18" t="s">
        <v>641</v>
      </c>
      <c r="H213" s="19" t="str">
        <f aca="false">Controlli_1!$L$221</f>
        <v/>
      </c>
      <c r="I213" s="24" t="n">
        <f aca="false">IF(Scheda_1!$D$206="Sì",1,0)</f>
        <v>0</v>
      </c>
    </row>
    <row r="214" customFormat="false" ht="15" hidden="false" customHeight="false" outlineLevel="0" collapsed="false">
      <c r="A214" s="16" t="s">
        <v>653</v>
      </c>
      <c r="B214" s="16" t="s">
        <v>634</v>
      </c>
      <c r="C214" s="5" t="s">
        <v>654</v>
      </c>
      <c r="D214" s="21"/>
      <c r="E214" s="16"/>
      <c r="F214" s="18" t="s">
        <v>89</v>
      </c>
      <c r="G214" s="18" t="s">
        <v>641</v>
      </c>
      <c r="H214" s="19" t="str">
        <f aca="false">Controlli_1!$L$222</f>
        <v/>
      </c>
      <c r="I214" s="24" t="n">
        <f aca="false">IF(Scheda_1!$D$206="Sì",1,0)</f>
        <v>0</v>
      </c>
    </row>
    <row r="215" customFormat="false" ht="25.35" hidden="false" customHeight="false" outlineLevel="0" collapsed="false">
      <c r="A215" s="16" t="s">
        <v>655</v>
      </c>
      <c r="B215" s="16" t="s">
        <v>634</v>
      </c>
      <c r="C215" s="5" t="s">
        <v>656</v>
      </c>
      <c r="D215" s="21"/>
      <c r="E215" s="16"/>
      <c r="F215" s="18" t="s">
        <v>89</v>
      </c>
      <c r="G215" s="18" t="s">
        <v>641</v>
      </c>
      <c r="H215" s="19" t="str">
        <f aca="false">Controlli_1!$L$223</f>
        <v/>
      </c>
      <c r="I215" s="24" t="n">
        <f aca="false">IF(Scheda_1!$D$206="Sì",1,0)</f>
        <v>0</v>
      </c>
    </row>
    <row r="216" customFormat="false" ht="19.5" hidden="false" customHeight="true" outlineLevel="0" collapsed="false">
      <c r="A216" s="14" t="s">
        <v>657</v>
      </c>
      <c r="B216" s="14"/>
      <c r="C216" s="14"/>
      <c r="D216" s="14"/>
      <c r="E216" s="14"/>
      <c r="F216" s="14"/>
      <c r="G216" s="14"/>
      <c r="H216" s="14"/>
    </row>
    <row r="217" customFormat="false" ht="15" hidden="false" customHeight="false" outlineLevel="0" collapsed="false">
      <c r="A217" s="16" t="s">
        <v>658</v>
      </c>
      <c r="B217" s="16" t="s">
        <v>659</v>
      </c>
      <c r="C217" s="20" t="s">
        <v>660</v>
      </c>
      <c r="D217" s="21" t="s">
        <v>125</v>
      </c>
      <c r="E217" s="16"/>
      <c r="F217" s="18" t="s">
        <v>75</v>
      </c>
      <c r="G217" s="18" t="s">
        <v>467</v>
      </c>
      <c r="H217" s="19" t="str">
        <f aca="false">Controlli_1!$L$224</f>
        <v>ok</v>
      </c>
      <c r="I217" s="0" t="n">
        <v>1</v>
      </c>
    </row>
    <row r="218" customFormat="false" ht="15" hidden="false" customHeight="false" outlineLevel="0" collapsed="false">
      <c r="A218" s="16" t="s">
        <v>661</v>
      </c>
      <c r="B218" s="16" t="s">
        <v>659</v>
      </c>
      <c r="C218" s="5" t="s">
        <v>662</v>
      </c>
      <c r="D218" s="21"/>
      <c r="E218" s="16" t="s">
        <v>293</v>
      </c>
      <c r="F218" s="18" t="s">
        <v>663</v>
      </c>
      <c r="G218" s="18" t="s">
        <v>664</v>
      </c>
      <c r="H218" s="19" t="str">
        <f aca="false">Controlli_1!$L$225</f>
        <v/>
      </c>
      <c r="I218" s="24" t="n">
        <f aca="false">IF(Scheda_1!$D$217="Sì",1,0)</f>
        <v>0</v>
      </c>
    </row>
    <row r="219" customFormat="false" ht="25.35" hidden="false" customHeight="false" outlineLevel="0" collapsed="false">
      <c r="A219" s="16" t="s">
        <v>665</v>
      </c>
      <c r="B219" s="16" t="s">
        <v>659</v>
      </c>
      <c r="C219" s="5" t="s">
        <v>666</v>
      </c>
      <c r="D219" s="21"/>
      <c r="E219" s="16" t="s">
        <v>234</v>
      </c>
      <c r="F219" s="18" t="s">
        <v>663</v>
      </c>
      <c r="G219" s="18" t="s">
        <v>667</v>
      </c>
      <c r="H219" s="19" t="str">
        <f aca="false">Controlli_1!$L$226</f>
        <v/>
      </c>
      <c r="I219" s="24" t="n">
        <f aca="false">IF(Scheda_1!$D$217="Sì",1,0)</f>
        <v>0</v>
      </c>
    </row>
    <row r="220" customFormat="false" ht="15" hidden="false" customHeight="false" outlineLevel="0" collapsed="false">
      <c r="A220" s="16" t="s">
        <v>668</v>
      </c>
      <c r="B220" s="16" t="s">
        <v>659</v>
      </c>
      <c r="C220" s="5" t="s">
        <v>669</v>
      </c>
      <c r="D220" s="21"/>
      <c r="E220" s="16" t="s">
        <v>140</v>
      </c>
      <c r="F220" s="18" t="s">
        <v>663</v>
      </c>
      <c r="G220" s="18" t="s">
        <v>664</v>
      </c>
      <c r="H220" s="19" t="str">
        <f aca="false">Controlli_1!$L$227</f>
        <v/>
      </c>
      <c r="I220" s="24" t="n">
        <f aca="false">IF(Scheda_1!$D$217="Sì",1,0)</f>
        <v>0</v>
      </c>
    </row>
    <row r="221" customFormat="false" ht="15" hidden="false" customHeight="false" outlineLevel="0" collapsed="false">
      <c r="A221" s="16" t="s">
        <v>670</v>
      </c>
      <c r="B221" s="16" t="s">
        <v>659</v>
      </c>
      <c r="C221" s="5" t="s">
        <v>671</v>
      </c>
      <c r="D221" s="21"/>
      <c r="E221" s="16"/>
      <c r="F221" s="18" t="s">
        <v>663</v>
      </c>
      <c r="G221" s="18" t="s">
        <v>664</v>
      </c>
      <c r="H221" s="19" t="str">
        <f aca="false">Controlli_1!$L$228</f>
        <v/>
      </c>
      <c r="I221" s="24" t="n">
        <f aca="false">IF(Scheda_1!$D$217="Sì",1,0)</f>
        <v>0</v>
      </c>
    </row>
    <row r="222" customFormat="false" ht="15" hidden="false" customHeight="false" outlineLevel="0" collapsed="false">
      <c r="A222" s="16" t="s">
        <v>672</v>
      </c>
      <c r="B222" s="16" t="s">
        <v>659</v>
      </c>
      <c r="C222" s="5" t="s">
        <v>673</v>
      </c>
      <c r="D222" s="21"/>
      <c r="E222" s="16" t="s">
        <v>674</v>
      </c>
      <c r="F222" s="18" t="s">
        <v>663</v>
      </c>
      <c r="G222" s="18" t="s">
        <v>675</v>
      </c>
      <c r="H222" s="19" t="str">
        <f aca="false">Controlli_1!$L$229</f>
        <v/>
      </c>
      <c r="I222" s="24" t="n">
        <f aca="false">IF(Scheda_1!$D$217="Sì",1,0)</f>
        <v>0</v>
      </c>
    </row>
    <row r="223" customFormat="false" ht="15" hidden="false" customHeight="false" outlineLevel="0" collapsed="false">
      <c r="A223" s="16" t="s">
        <v>676</v>
      </c>
      <c r="B223" s="16" t="s">
        <v>659</v>
      </c>
      <c r="C223" s="5" t="s">
        <v>677</v>
      </c>
      <c r="D223" s="21"/>
      <c r="E223" s="16"/>
      <c r="F223" s="18" t="s">
        <v>663</v>
      </c>
      <c r="G223" s="18" t="s">
        <v>664</v>
      </c>
      <c r="H223" s="19" t="str">
        <f aca="false">Controlli_1!$L$230</f>
        <v/>
      </c>
      <c r="I223" s="24" t="n">
        <f aca="false">IF(Scheda_1!$D$217="Sì",1,0)</f>
        <v>0</v>
      </c>
    </row>
    <row r="224" customFormat="false" ht="15" hidden="false" customHeight="false" outlineLevel="0" collapsed="false">
      <c r="A224" s="16" t="s">
        <v>678</v>
      </c>
      <c r="B224" s="16" t="s">
        <v>659</v>
      </c>
      <c r="C224" s="5" t="s">
        <v>679</v>
      </c>
      <c r="D224" s="21"/>
      <c r="E224" s="16"/>
      <c r="F224" s="18" t="s">
        <v>663</v>
      </c>
      <c r="G224" s="18" t="s">
        <v>664</v>
      </c>
      <c r="H224" s="19" t="str">
        <f aca="false">Controlli_1!$L$231</f>
        <v/>
      </c>
      <c r="I224" s="24" t="n">
        <f aca="false">IF(Scheda_1!$D$217="Sì",1,0)</f>
        <v>0</v>
      </c>
    </row>
    <row r="225" customFormat="false" ht="15" hidden="false" customHeight="false" outlineLevel="0" collapsed="false">
      <c r="A225" s="16" t="s">
        <v>680</v>
      </c>
      <c r="B225" s="16" t="s">
        <v>659</v>
      </c>
      <c r="C225" s="5" t="s">
        <v>681</v>
      </c>
      <c r="D225" s="21"/>
      <c r="E225" s="16" t="s">
        <v>310</v>
      </c>
      <c r="F225" s="18" t="s">
        <v>663</v>
      </c>
      <c r="G225" s="18" t="s">
        <v>664</v>
      </c>
      <c r="H225" s="19" t="str">
        <f aca="false">Controlli_1!$L$232</f>
        <v/>
      </c>
      <c r="I225" s="24" t="n">
        <f aca="false">IF(Scheda_1!$D$217="Sì",1,0)</f>
        <v>0</v>
      </c>
    </row>
    <row r="226" customFormat="false" ht="19.5" hidden="false" customHeight="true" outlineLevel="0" collapsed="false">
      <c r="A226" s="14" t="s">
        <v>682</v>
      </c>
      <c r="B226" s="14"/>
      <c r="C226" s="14"/>
      <c r="D226" s="14"/>
      <c r="E226" s="14"/>
      <c r="F226" s="14"/>
      <c r="G226" s="14"/>
      <c r="H226" s="14"/>
    </row>
    <row r="227" customFormat="false" ht="15" hidden="false" customHeight="false" outlineLevel="0" collapsed="false">
      <c r="A227" s="15" t="s">
        <v>683</v>
      </c>
      <c r="B227" s="15"/>
      <c r="C227" s="15"/>
      <c r="D227" s="15"/>
      <c r="E227" s="15"/>
      <c r="F227" s="15"/>
      <c r="G227" s="15"/>
      <c r="H227" s="15"/>
    </row>
    <row r="228" customFormat="false" ht="25.35" hidden="false" customHeight="false" outlineLevel="0" collapsed="false">
      <c r="A228" s="16" t="s">
        <v>684</v>
      </c>
      <c r="B228" s="16" t="s">
        <v>685</v>
      </c>
      <c r="C228" s="20" t="s">
        <v>686</v>
      </c>
      <c r="D228" s="21" t="s">
        <v>125</v>
      </c>
      <c r="E228" s="16"/>
      <c r="F228" s="18" t="s">
        <v>75</v>
      </c>
      <c r="G228" s="18" t="s">
        <v>467</v>
      </c>
      <c r="H228" s="19" t="str">
        <f aca="false">Controlli_1!$L$233</f>
        <v>ok</v>
      </c>
      <c r="I228" s="0" t="n">
        <v>1</v>
      </c>
    </row>
    <row r="229" customFormat="false" ht="25.35" hidden="false" customHeight="false" outlineLevel="0" collapsed="false">
      <c r="A229" s="16" t="s">
        <v>687</v>
      </c>
      <c r="B229" s="16" t="s">
        <v>685</v>
      </c>
      <c r="C229" s="5" t="s">
        <v>688</v>
      </c>
      <c r="D229" s="21"/>
      <c r="E229" s="16"/>
      <c r="F229" s="18" t="s">
        <v>84</v>
      </c>
      <c r="G229" s="18" t="s">
        <v>689</v>
      </c>
      <c r="H229" s="19" t="str">
        <f aca="false">Controlli_1!$L$234</f>
        <v/>
      </c>
      <c r="I229" s="24" t="n">
        <f aca="false">IF(Scheda_1!$D$228="Sì",1,0)</f>
        <v>0</v>
      </c>
    </row>
    <row r="230" customFormat="false" ht="25.35" hidden="false" customHeight="false" outlineLevel="0" collapsed="false">
      <c r="A230" s="16" t="s">
        <v>690</v>
      </c>
      <c r="B230" s="16" t="s">
        <v>685</v>
      </c>
      <c r="C230" s="5" t="s">
        <v>691</v>
      </c>
      <c r="D230" s="21"/>
      <c r="E230" s="16"/>
      <c r="F230" s="18" t="s">
        <v>84</v>
      </c>
      <c r="G230" s="18" t="s">
        <v>692</v>
      </c>
      <c r="H230" s="19" t="str">
        <f aca="false">Controlli_1!$L$235</f>
        <v/>
      </c>
      <c r="I230" s="24" t="n">
        <f aca="false">IF(Scheda_1!$D$228="Sì",1,0)</f>
        <v>0</v>
      </c>
    </row>
    <row r="231" customFormat="false" ht="23.85" hidden="false" customHeight="false" outlineLevel="0" collapsed="false">
      <c r="A231" s="16" t="s">
        <v>693</v>
      </c>
      <c r="B231" s="16" t="s">
        <v>685</v>
      </c>
      <c r="C231" s="5" t="s">
        <v>694</v>
      </c>
      <c r="D231" s="21"/>
      <c r="E231" s="16"/>
      <c r="F231" s="18" t="s">
        <v>695</v>
      </c>
      <c r="G231" s="18" t="s">
        <v>696</v>
      </c>
      <c r="H231" s="19" t="str">
        <f aca="false">Controlli_1!$L$236</f>
        <v/>
      </c>
      <c r="I231" s="24" t="n">
        <f aca="false">IF(Scheda_1!$D$228="Sì",1,0)</f>
        <v>0</v>
      </c>
    </row>
    <row r="232" customFormat="false" ht="25.35" hidden="false" customHeight="false" outlineLevel="0" collapsed="false">
      <c r="A232" s="16" t="s">
        <v>697</v>
      </c>
      <c r="B232" s="16" t="s">
        <v>685</v>
      </c>
      <c r="C232" s="5" t="s">
        <v>698</v>
      </c>
      <c r="D232" s="21"/>
      <c r="E232" s="16"/>
      <c r="F232" s="18" t="s">
        <v>84</v>
      </c>
      <c r="G232" s="18" t="s">
        <v>696</v>
      </c>
      <c r="H232" s="19" t="str">
        <f aca="false">Controlli_1!$L$237</f>
        <v/>
      </c>
      <c r="I232" s="24" t="n">
        <f aca="false">IF(Scheda_1!$D$228="Sì",1,0)</f>
        <v>0</v>
      </c>
    </row>
    <row r="233" customFormat="false" ht="23.85" hidden="false" customHeight="false" outlineLevel="0" collapsed="false">
      <c r="A233" s="16" t="s">
        <v>699</v>
      </c>
      <c r="B233" s="16" t="s">
        <v>685</v>
      </c>
      <c r="C233" s="5" t="s">
        <v>700</v>
      </c>
      <c r="D233" s="21"/>
      <c r="E233" s="16" t="s">
        <v>293</v>
      </c>
      <c r="F233" s="18" t="s">
        <v>701</v>
      </c>
      <c r="G233" s="18" t="s">
        <v>696</v>
      </c>
      <c r="H233" s="19" t="str">
        <f aca="false">Controlli_1!$L$238</f>
        <v/>
      </c>
      <c r="I233" s="24" t="n">
        <f aca="false">IF(Scheda_1!$D$228="Sì",1,0)</f>
        <v>0</v>
      </c>
    </row>
    <row r="234" customFormat="false" ht="19.5" hidden="false" customHeight="true" outlineLevel="0" collapsed="false">
      <c r="A234" s="14" t="s">
        <v>702</v>
      </c>
      <c r="B234" s="14"/>
      <c r="C234" s="14"/>
      <c r="D234" s="14"/>
      <c r="E234" s="14"/>
      <c r="F234" s="14"/>
      <c r="G234" s="14"/>
      <c r="H234" s="14"/>
    </row>
    <row r="235" customFormat="false" ht="15" hidden="false" customHeight="false" outlineLevel="0" collapsed="false">
      <c r="A235" s="15" t="s">
        <v>703</v>
      </c>
      <c r="B235" s="15"/>
      <c r="C235" s="15"/>
      <c r="D235" s="15"/>
      <c r="E235" s="15"/>
      <c r="F235" s="15"/>
      <c r="G235" s="15"/>
      <c r="H235" s="15"/>
    </row>
    <row r="236" customFormat="false" ht="15" hidden="false" customHeight="false" outlineLevel="0" collapsed="false">
      <c r="A236" s="16" t="s">
        <v>704</v>
      </c>
      <c r="B236" s="16" t="s">
        <v>705</v>
      </c>
      <c r="C236" s="20" t="s">
        <v>706</v>
      </c>
      <c r="D236" s="21" t="s">
        <v>125</v>
      </c>
      <c r="E236" s="16"/>
      <c r="F236" s="18" t="s">
        <v>75</v>
      </c>
      <c r="G236" s="18" t="s">
        <v>467</v>
      </c>
      <c r="H236" s="19" t="str">
        <f aca="false">Controlli_1!$L$239</f>
        <v>ok</v>
      </c>
      <c r="I236" s="0" t="n">
        <v>1</v>
      </c>
    </row>
    <row r="237" customFormat="false" ht="25.35" hidden="false" customHeight="false" outlineLevel="0" collapsed="false">
      <c r="A237" s="16" t="s">
        <v>707</v>
      </c>
      <c r="B237" s="16" t="s">
        <v>705</v>
      </c>
      <c r="C237" s="5" t="s">
        <v>708</v>
      </c>
      <c r="D237" s="21"/>
      <c r="E237" s="16" t="s">
        <v>140</v>
      </c>
      <c r="F237" s="18" t="s">
        <v>89</v>
      </c>
      <c r="G237" s="18" t="s">
        <v>709</v>
      </c>
      <c r="H237" s="19" t="str">
        <f aca="false">Controlli_1!$L$240</f>
        <v/>
      </c>
      <c r="I237" s="24" t="n">
        <f aca="false">IF(Scheda_1!$D$236="Sì",1,0)</f>
        <v>0</v>
      </c>
    </row>
    <row r="238" customFormat="false" ht="15" hidden="false" customHeight="false" outlineLevel="0" collapsed="false">
      <c r="A238" s="16" t="s">
        <v>710</v>
      </c>
      <c r="B238" s="16" t="s">
        <v>705</v>
      </c>
      <c r="C238" s="5" t="s">
        <v>711</v>
      </c>
      <c r="D238" s="21"/>
      <c r="E238" s="16" t="s">
        <v>140</v>
      </c>
      <c r="F238" s="18" t="s">
        <v>89</v>
      </c>
      <c r="G238" s="18" t="s">
        <v>712</v>
      </c>
      <c r="H238" s="19" t="str">
        <f aca="false">Controlli_1!$L$241</f>
        <v/>
      </c>
      <c r="I238" s="24" t="n">
        <f aca="false">IF(Scheda_1!$D$236="Sì",1,0)</f>
        <v>0</v>
      </c>
    </row>
    <row r="239" customFormat="false" ht="15" hidden="false" customHeight="false" outlineLevel="0" collapsed="false">
      <c r="A239" s="16" t="s">
        <v>713</v>
      </c>
      <c r="B239" s="16" t="s">
        <v>705</v>
      </c>
      <c r="C239" s="5" t="s">
        <v>714</v>
      </c>
      <c r="D239" s="21"/>
      <c r="E239" s="16"/>
      <c r="F239" s="18" t="s">
        <v>89</v>
      </c>
      <c r="G239" s="18" t="s">
        <v>715</v>
      </c>
      <c r="H239" s="19" t="str">
        <f aca="false">Controlli_1!$L$242</f>
        <v/>
      </c>
      <c r="I239" s="24" t="n">
        <f aca="false">IF(Scheda_1!$D$236="Sì",1,0)</f>
        <v>0</v>
      </c>
    </row>
    <row r="240" customFormat="false" ht="19.5" hidden="false" customHeight="true" outlineLevel="0" collapsed="false">
      <c r="A240" s="14" t="s">
        <v>716</v>
      </c>
      <c r="B240" s="14"/>
      <c r="C240" s="14"/>
      <c r="D240" s="14"/>
      <c r="E240" s="14"/>
      <c r="F240" s="14"/>
      <c r="G240" s="14"/>
      <c r="H240" s="14"/>
    </row>
    <row r="241" customFormat="false" ht="15" hidden="false" customHeight="false" outlineLevel="0" collapsed="false">
      <c r="A241" s="15" t="s">
        <v>717</v>
      </c>
      <c r="B241" s="15"/>
      <c r="C241" s="15"/>
      <c r="D241" s="15"/>
      <c r="E241" s="15"/>
      <c r="F241" s="15"/>
      <c r="G241" s="15"/>
      <c r="H241" s="15"/>
    </row>
    <row r="242" customFormat="false" ht="25.35" hidden="false" customHeight="false" outlineLevel="0" collapsed="false">
      <c r="A242" s="16" t="s">
        <v>718</v>
      </c>
      <c r="B242" s="16" t="s">
        <v>719</v>
      </c>
      <c r="C242" s="20" t="s">
        <v>720</v>
      </c>
      <c r="D242" s="21" t="s">
        <v>125</v>
      </c>
      <c r="E242" s="16"/>
      <c r="F242" s="18" t="s">
        <v>75</v>
      </c>
      <c r="G242" s="18" t="s">
        <v>467</v>
      </c>
      <c r="H242" s="19" t="str">
        <f aca="false">Controlli_1!$L$243</f>
        <v>ok</v>
      </c>
      <c r="I242" s="0" t="n">
        <v>1</v>
      </c>
    </row>
    <row r="243" customFormat="false" ht="15" hidden="false" customHeight="false" outlineLevel="0" collapsed="false">
      <c r="A243" s="16" t="s">
        <v>721</v>
      </c>
      <c r="B243" s="16" t="s">
        <v>719</v>
      </c>
      <c r="C243" s="5" t="s">
        <v>722</v>
      </c>
      <c r="D243" s="21"/>
      <c r="E243" s="16"/>
      <c r="F243" s="18" t="s">
        <v>75</v>
      </c>
      <c r="G243" s="18" t="s">
        <v>723</v>
      </c>
      <c r="H243" s="19" t="str">
        <f aca="false">Controlli_1!$L$244</f>
        <v/>
      </c>
      <c r="I243" s="24" t="n">
        <f aca="false">IF(Scheda_1!$D$242="Sì",1,0)</f>
        <v>0</v>
      </c>
    </row>
    <row r="244" customFormat="false" ht="15" hidden="false" customHeight="false" outlineLevel="0" collapsed="false">
      <c r="A244" s="16" t="s">
        <v>724</v>
      </c>
      <c r="B244" s="16" t="s">
        <v>719</v>
      </c>
      <c r="C244" s="5" t="s">
        <v>725</v>
      </c>
      <c r="D244" s="21"/>
      <c r="E244" s="16"/>
      <c r="F244" s="18" t="s">
        <v>75</v>
      </c>
      <c r="G244" s="18" t="s">
        <v>726</v>
      </c>
      <c r="H244" s="19" t="str">
        <f aca="false">Controlli_1!$L$245</f>
        <v/>
      </c>
      <c r="I244" s="24" t="n">
        <f aca="false">IF(Scheda_1!$D$242="Sì",1,0)</f>
        <v>0</v>
      </c>
    </row>
    <row r="245" customFormat="false" ht="15" hidden="false" customHeight="false" outlineLevel="0" collapsed="false">
      <c r="A245" s="16" t="s">
        <v>727</v>
      </c>
      <c r="B245" s="16" t="s">
        <v>719</v>
      </c>
      <c r="C245" s="5" t="s">
        <v>728</v>
      </c>
      <c r="D245" s="21"/>
      <c r="E245" s="16"/>
      <c r="F245" s="18" t="s">
        <v>75</v>
      </c>
      <c r="G245" s="18" t="s">
        <v>729</v>
      </c>
      <c r="H245" s="19" t="str">
        <f aca="false">Controlli_1!$L$246</f>
        <v/>
      </c>
      <c r="I245" s="24" t="n">
        <f aca="false">IF(Scheda_1!$D$242="Sì",1,0)</f>
        <v>0</v>
      </c>
    </row>
    <row r="246" customFormat="false" ht="15" hidden="false" customHeight="false" outlineLevel="0" collapsed="false">
      <c r="A246" s="16" t="s">
        <v>730</v>
      </c>
      <c r="B246" s="16" t="s">
        <v>719</v>
      </c>
      <c r="C246" s="5" t="s">
        <v>731</v>
      </c>
      <c r="D246" s="21"/>
      <c r="E246" s="16"/>
      <c r="F246" s="18" t="s">
        <v>75</v>
      </c>
      <c r="G246" s="18" t="s">
        <v>732</v>
      </c>
      <c r="H246" s="19" t="str">
        <f aca="false">Controlli_1!$L$247</f>
        <v/>
      </c>
      <c r="I246" s="24" t="n">
        <f aca="false">IF(Scheda_1!$D$242="Sì",1,0)</f>
        <v>0</v>
      </c>
    </row>
    <row r="247" customFormat="false" ht="25.35" hidden="false" customHeight="false" outlineLevel="0" collapsed="false">
      <c r="A247" s="16" t="s">
        <v>733</v>
      </c>
      <c r="B247" s="16" t="s">
        <v>719</v>
      </c>
      <c r="C247" s="5" t="s">
        <v>734</v>
      </c>
      <c r="D247" s="21"/>
      <c r="E247" s="16"/>
      <c r="F247" s="18" t="s">
        <v>75</v>
      </c>
      <c r="G247" s="18" t="s">
        <v>735</v>
      </c>
      <c r="H247" s="19" t="str">
        <f aca="false">Controlli_1!$L$248</f>
        <v/>
      </c>
      <c r="I247" s="24" t="n">
        <f aca="false">IF(Scheda_1!$D$242="Sì",1,0)</f>
        <v>0</v>
      </c>
    </row>
    <row r="248" customFormat="false" ht="15" hidden="false" customHeight="false" outlineLevel="0" collapsed="false">
      <c r="A248" s="16" t="s">
        <v>736</v>
      </c>
      <c r="B248" s="16" t="s">
        <v>719</v>
      </c>
      <c r="C248" s="5" t="s">
        <v>737</v>
      </c>
      <c r="D248" s="21"/>
      <c r="E248" s="16"/>
      <c r="F248" s="18" t="s">
        <v>75</v>
      </c>
      <c r="G248" s="18" t="s">
        <v>738</v>
      </c>
      <c r="H248" s="19" t="str">
        <f aca="false">Controlli_1!$L$249</f>
        <v/>
      </c>
      <c r="I248" s="24" t="n">
        <f aca="false">IF(Scheda_1!$D$242="Sì",1,0)</f>
        <v>0</v>
      </c>
    </row>
    <row r="249" customFormat="false" ht="15" hidden="false" customHeight="false" outlineLevel="0" collapsed="false">
      <c r="A249" s="16" t="s">
        <v>739</v>
      </c>
      <c r="B249" s="16" t="s">
        <v>719</v>
      </c>
      <c r="C249" s="5" t="s">
        <v>740</v>
      </c>
      <c r="D249" s="21"/>
      <c r="E249" s="16"/>
      <c r="F249" s="18" t="s">
        <v>75</v>
      </c>
      <c r="G249" s="18" t="s">
        <v>741</v>
      </c>
      <c r="H249" s="19" t="str">
        <f aca="false">Controlli_1!$L$250</f>
        <v/>
      </c>
      <c r="I249" s="24" t="n">
        <f aca="false">IF(Scheda_1!$D$242="Sì",1,0)</f>
        <v>0</v>
      </c>
    </row>
    <row r="250" customFormat="false" ht="15" hidden="false" customHeight="false" outlineLevel="0" collapsed="false">
      <c r="A250" s="16" t="s">
        <v>742</v>
      </c>
      <c r="B250" s="16" t="s">
        <v>719</v>
      </c>
      <c r="C250" s="5" t="s">
        <v>743</v>
      </c>
      <c r="D250" s="21"/>
      <c r="E250" s="16"/>
      <c r="F250" s="18" t="s">
        <v>75</v>
      </c>
      <c r="G250" s="18" t="s">
        <v>744</v>
      </c>
      <c r="H250" s="19" t="str">
        <f aca="false">Controlli_1!$L$251</f>
        <v/>
      </c>
      <c r="I250" s="24" t="n">
        <f aca="false">IF(Scheda_1!$D$242="Sì",1,0)</f>
        <v>0</v>
      </c>
    </row>
    <row r="251" customFormat="false" ht="15" hidden="false" customHeight="false" outlineLevel="0" collapsed="false">
      <c r="A251" s="16" t="s">
        <v>745</v>
      </c>
      <c r="B251" s="16" t="s">
        <v>719</v>
      </c>
      <c r="C251" s="5" t="s">
        <v>746</v>
      </c>
      <c r="D251" s="21"/>
      <c r="E251" s="16"/>
      <c r="F251" s="18" t="s">
        <v>75</v>
      </c>
      <c r="G251" s="18" t="s">
        <v>747</v>
      </c>
      <c r="H251" s="19" t="str">
        <f aca="false">Controlli_1!$L$252</f>
        <v/>
      </c>
      <c r="I251" s="24" t="n">
        <f aca="false">IF(Scheda_1!$D$242="Sì",1,0)</f>
        <v>0</v>
      </c>
    </row>
    <row r="252" customFormat="false" ht="15" hidden="false" customHeight="false" outlineLevel="0" collapsed="false">
      <c r="A252" s="16" t="s">
        <v>748</v>
      </c>
      <c r="B252" s="16" t="s">
        <v>719</v>
      </c>
      <c r="C252" s="5" t="s">
        <v>749</v>
      </c>
      <c r="D252" s="21"/>
      <c r="E252" s="16"/>
      <c r="F252" s="18" t="s">
        <v>75</v>
      </c>
      <c r="G252" s="18" t="s">
        <v>735</v>
      </c>
      <c r="H252" s="19" t="str">
        <f aca="false">Controlli_1!$L$253</f>
        <v/>
      </c>
      <c r="I252" s="24" t="n">
        <f aca="false">IF(Scheda_1!$D$242="Sì",1,0)</f>
        <v>0</v>
      </c>
    </row>
  </sheetData>
  <mergeCells count="26">
    <mergeCell ref="C5:G5"/>
    <mergeCell ref="A7:H7"/>
    <mergeCell ref="A8:H8"/>
    <mergeCell ref="A16:H16"/>
    <mergeCell ref="A17:H17"/>
    <mergeCell ref="A24:H24"/>
    <mergeCell ref="A25:H25"/>
    <mergeCell ref="A44:H44"/>
    <mergeCell ref="A45:H45"/>
    <mergeCell ref="A54:H54"/>
    <mergeCell ref="A77:H77"/>
    <mergeCell ref="A78:H78"/>
    <mergeCell ref="A128:H128"/>
    <mergeCell ref="A143:H143"/>
    <mergeCell ref="A144:H144"/>
    <mergeCell ref="A170:H170"/>
    <mergeCell ref="A191:H191"/>
    <mergeCell ref="A192:H192"/>
    <mergeCell ref="A205:H205"/>
    <mergeCell ref="A216:H216"/>
    <mergeCell ref="A226:H226"/>
    <mergeCell ref="A227:H227"/>
    <mergeCell ref="A234:H234"/>
    <mergeCell ref="A235:H235"/>
    <mergeCell ref="A240:H240"/>
    <mergeCell ref="A241:H241"/>
  </mergeCells>
  <conditionalFormatting sqref="A7:H252">
    <cfRule type="expression" priority="2" aboveAverage="0" equalAverage="0" bottom="0" percent="0" rank="0" text="" dxfId="0">
      <formula>AND(ISNUMBER($I7),$I7=0)</formula>
    </cfRule>
  </conditionalFormatting>
  <conditionalFormatting sqref="D7:D252">
    <cfRule type="expression" priority="3" aboveAverage="0" equalAverage="0" bottom="0" percent="0" rank="0" text="" dxfId="1">
      <formula>$H7="MANCANTE"</formula>
    </cfRule>
    <cfRule type="expression" priority="4" aboveAverage="0" equalAverage="0" bottom="0" percent="0" rank="0" text="" dxfId="2">
      <formula>$H7="NON NOTO"</formula>
    </cfRule>
  </conditionalFormatting>
  <conditionalFormatting sqref="H7:H252">
    <cfRule type="expression" priority="5" aboveAverage="0" equalAverage="0" bottom="0" percent="0" rank="0" text="" dxfId="3">
      <formula>$H7="MANCANTE"</formula>
    </cfRule>
    <cfRule type="expression" priority="6" aboveAverage="0" equalAverage="0" bottom="0" percent="0" rank="0" text="" dxfId="4">
      <formula>$H7="ok"</formula>
    </cfRule>
  </conditionalFormatting>
  <conditionalFormatting sqref="C5:G5">
    <cfRule type="expression" priority="7" aboveAverage="0" equalAverage="0" bottom="0" percent="0" rank="0" text="" dxfId="5">
      <formula>Controlli_1!$B$13&gt;0</formula>
    </cfRule>
    <cfRule type="expression" priority="8" aboveAverage="0" equalAverage="0" bottom="0" percent="0" rank="0" text="" dxfId="6">
      <formula>Controlli_1!$B$13=0</formula>
    </cfRule>
  </conditionalFormatting>
  <dataValidations count="121">
    <dataValidation allowBlank="true" error="Scegliere un valore dall'elenco (menu a tendina)." errorStyle="stop" errorTitle="Valore non valido" operator="between" showDropDown="false" showErrorMessage="true" showInputMessage="false" sqref="D19" type="list">
      <formula1>Elenchi!$A$2:$A$12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" type="list">
      <formula1>Elenchi!$D$2:$D$17</formula1>
      <formula2>0</formula2>
    </dataValidation>
    <dataValidation allowBlank="true" error="Usare il formato gg/mm/aaaa oppure scrivere «non noto». Continuare?" errorStyle="warning" errorTitle="Data non valida" operator="greaterThanOrEqual" showDropDown="false" showErrorMessage="true" showInputMessage="false" sqref="D22:D23 D39 D56 D62:D63 D179" type="date">
      <formula1>1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6" type="list">
      <formula1>Elenchi!$J$2:$J$29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8" type="list">
      <formula1>Elenchi!$T$2:$T$8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0" type="list">
      <formula1>Elenchi!$W$2:$W$6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1" type="list">
      <formula1>Elenchi!$X$2:$X$5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5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6" type="list">
      <formula1>Elenchi!$Y$2:$Y$10</formula1>
      <formula2>0</formula2>
    </dataValidation>
    <dataValidation allowBlank="true" error="Inserire un numero ≥ 0 oppure lasciare vuoto / scrivere «non noto». Continuare?" errorStyle="warning" errorTitle="Valore non numerico" operator="greaterThanOrEqual" showDropDown="false" showErrorMessage="true" showInputMessage="false" sqref="D37 D50 D65:D73 D79:D93 D95 D97 D100:D105 D107:D108 D110:D113 D115 D120:D121 D123:D126 D131 D146:D147 D149 D175:D177 D185:D188 D190 D196:D203 D218:D220 D222 D225 D233 D237:D238" type="decimal">
      <formula1>0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2" type="list">
      <formula1>Elenchi!$Z$2:$Z$5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6" type="list">
      <formula1>Elenchi!$U$2:$U$7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7" type="list">
      <formula1>Elenchi!$U$2:$U$7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8" type="list">
      <formula1>Elenchi!$V$2:$V$5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3" type="list">
      <formula1>Elenchi!$AA$2:$AA$4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5" type="list">
      <formula1>Elenchi!$AB$2:$AB$7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7" type="list">
      <formula1>Elenchi!$AC$2:$AC$5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9" type="list">
      <formula1>Elenchi!$AD$2:$AD$3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6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61" type="list">
      <formula1>Elenchi!$AE$2:$AE$6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64" type="list">
      <formula1>Elenchi!$AF$2:$AF$6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75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7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9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9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9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0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0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4" type="list">
      <formula1>Elenchi!$AG$2:$AG$5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7" type="list">
      <formula1>Elenchi!$AH$2:$AH$9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8" type="list">
      <formula1>Elenchi!$AH$2:$AH$9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2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29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2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3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4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5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7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8" type="list">
      <formula1>Elenchi!$R$2:$R$5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40" type="list">
      <formula1>Elenchi!$R$2:$R$5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4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4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45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5" type="list">
      <formula1>Elenchi!$AI$2:$AI$5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7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9" type="list">
      <formula1>Elenchi!$AJ$2:$AJ$7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0" type="list">
      <formula1>Elenchi!$AK$2:$AK$4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5" type="list">
      <formula1>Elenchi!$AL$2:$AL$4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7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1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2" type="list">
      <formula1>Elenchi!$AM$2:$AM$6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8" type="list">
      <formula1>Elenchi!$AN$2:$AN$5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3" type="list">
      <formula1>Elenchi!$AO$2:$AO$6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93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94" type="list">
      <formula1>Elenchi!$AP$2:$AP$12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95" type="list">
      <formula1>Elenchi!$AQ$2:$AQ$4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6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7" type="list">
      <formula1>Elenchi!$AR$2:$AR$6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5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7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1" type="list">
      <formula1>Elenchi!$AS$2:$AS$4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3" type="list">
      <formula1>Elenchi!$AT$2:$AT$4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8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3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3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36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3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2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3" type="list">
      <formula1>Elenchi!$AU$2:$AU$3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4" type="list">
      <formula1>Elenchi!$AV$2:$AV$6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5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7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5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5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52" type="list">
      <formula1>Elenchi!$Q$2:$Q$4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7" min="4" style="0" width="7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25" t="s">
        <v>750</v>
      </c>
    </row>
    <row r="2" customFormat="false" ht="15" hidden="false" customHeight="false" outlineLevel="0" collapsed="false">
      <c r="A2" s="3" t="s">
        <v>751</v>
      </c>
    </row>
    <row r="3" customFormat="false" ht="15" hidden="false" customHeight="false" outlineLevel="0" collapsed="false">
      <c r="A3" s="26" t="s">
        <v>752</v>
      </c>
    </row>
    <row r="4" customFormat="false" ht="15" hidden="false" customHeight="false" outlineLevel="0" collapsed="false">
      <c r="A4" s="16" t="s">
        <v>753</v>
      </c>
      <c r="B4" s="27" t="str">
        <f aca="false">Scheda_1!$D$19&amp;""</f>
        <v>SCIA</v>
      </c>
    </row>
    <row r="5" customFormat="false" ht="15" hidden="false" customHeight="false" outlineLevel="0" collapsed="false">
      <c r="A5" s="16" t="s">
        <v>754</v>
      </c>
      <c r="B5" s="27" t="str">
        <f aca="false">IFERROR(VLOOKUP(Scheda_1!$D$19,Elenchi!$A$2:$B$12,2,FALSE()),"")</f>
        <v>ORD</v>
      </c>
      <c r="C5" s="16" t="s">
        <v>755</v>
      </c>
    </row>
    <row r="6" customFormat="false" ht="15" hidden="false" customHeight="false" outlineLevel="0" collapsed="false">
      <c r="A6" s="16" t="s">
        <v>756</v>
      </c>
      <c r="B6" s="27" t="n">
        <f aca="false">IFERROR(VLOOKUP(Scheda_1!$D$20,Elenchi!$D$2:$H$40,2,FALSE()),0)</f>
        <v>0</v>
      </c>
      <c r="C6" s="16" t="s">
        <v>757</v>
      </c>
    </row>
    <row r="7" customFormat="false" ht="15" hidden="false" customHeight="false" outlineLevel="0" collapsed="false">
      <c r="A7" s="16" t="s">
        <v>758</v>
      </c>
      <c r="B7" s="27" t="n">
        <f aca="false">IFERROR(VLOOKUP(Scheda_1!$D$20,Elenchi!$D$2:$H$40,3,FALSE()),0)</f>
        <v>1</v>
      </c>
      <c r="C7" s="16" t="s">
        <v>759</v>
      </c>
    </row>
    <row r="8" customFormat="false" ht="15" hidden="false" customHeight="false" outlineLevel="0" collapsed="false">
      <c r="A8" s="16" t="s">
        <v>760</v>
      </c>
      <c r="B8" s="27" t="n">
        <f aca="false">IFERROR(VLOOKUP(Scheda_1!$D$20,Elenchi!$D$2:$H$40,4,FALSE()),0)</f>
        <v>0</v>
      </c>
      <c r="C8" s="16" t="s">
        <v>761</v>
      </c>
    </row>
    <row r="9" customFormat="false" ht="15" hidden="false" customHeight="false" outlineLevel="0" collapsed="false">
      <c r="A9" s="16" t="s">
        <v>762</v>
      </c>
      <c r="B9" s="27" t="n">
        <f aca="false">IFERROR(VLOOKUP(Scheda_1!$D$20,Elenchi!$D$2:$H$40,5,FALSE()),0)</f>
        <v>0</v>
      </c>
      <c r="C9" s="16" t="s">
        <v>763</v>
      </c>
    </row>
    <row r="11" customFormat="false" ht="15" hidden="false" customHeight="false" outlineLevel="0" collapsed="false">
      <c r="A11" s="16" t="s">
        <v>764</v>
      </c>
      <c r="B11" s="27" t="n">
        <f aca="false">SUM(K33:K253)</f>
        <v>41</v>
      </c>
      <c r="C11" s="16" t="s">
        <v>765</v>
      </c>
    </row>
    <row r="12" customFormat="false" ht="15" hidden="false" customHeight="false" outlineLevel="0" collapsed="false">
      <c r="A12" s="16" t="s">
        <v>766</v>
      </c>
      <c r="B12" s="27" t="n">
        <f aca="false">COUNTIF(L33:L253,"ok")</f>
        <v>41</v>
      </c>
      <c r="C12" s="16" t="s">
        <v>767</v>
      </c>
    </row>
    <row r="13" customFormat="false" ht="15" hidden="false" customHeight="false" outlineLevel="0" collapsed="false">
      <c r="A13" s="16" t="s">
        <v>768</v>
      </c>
      <c r="B13" s="28" t="n">
        <f aca="false">COUNTIF(L33:L253,"MANCANTE")</f>
        <v>0</v>
      </c>
      <c r="C13" s="16" t="s">
        <v>769</v>
      </c>
    </row>
    <row r="14" customFormat="false" ht="15" hidden="false" customHeight="false" outlineLevel="0" collapsed="false">
      <c r="A14" s="16" t="s">
        <v>770</v>
      </c>
      <c r="B14" s="27" t="n">
        <f aca="false">COUNTIF(L33:L253,"NON NOTO")</f>
        <v>0</v>
      </c>
      <c r="C14" s="16" t="s">
        <v>771</v>
      </c>
    </row>
    <row r="16" customFormat="false" ht="15" hidden="false" customHeight="false" outlineLevel="0" collapsed="false">
      <c r="A16" s="26" t="s">
        <v>772</v>
      </c>
    </row>
    <row r="17" customFormat="false" ht="15" hidden="false" customHeight="false" outlineLevel="0" collapsed="false">
      <c r="A17" s="16" t="s">
        <v>773</v>
      </c>
      <c r="B17" s="29" t="str">
        <f aca="false">IF(Scheda_1!$D$29&lt;&gt;"","Zona applicata: "&amp;Scheda_1!$D$29&amp;IF(Scheda_1!$D$28&lt;&gt;""," (dalla scheda, prevale)"," (default dell'ambito, sez. 35.0)"),"Zona A-F non determinata: se serve il K3 indicarla nel campo «zona omogenea»")</f>
        <v>Zona applicata: B (default dell'ambito, sez. 35.0)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customFormat="false" ht="15" hidden="false" customHeight="false" outlineLevel="0" collapsed="false">
      <c r="A18" s="16" t="s">
        <v>774</v>
      </c>
      <c r="B18" s="29" t="str">
        <f aca="false">IF(OR($B$5="CON",$B$5="ACC"),IF(AND(ISNUMBER(Scheda_1!$D$39),ISNUMBER(Scheda_1!$D$62)),IF(Scheda_1!$D$39&lt;=Scheda_1!$D$62,"Vincolo paesaggistico ANTERIORE alle opere (sez. 12.9, 13.2)","Vincolo paesaggistico POSTERIORE alle opere (sez. 12.9, 13.2)"),"Data di istituzione del vincolo o data delle opere mancante: confronto non possibile"),"")</f>
        <v/>
      </c>
      <c r="C18" s="29"/>
      <c r="D18" s="29"/>
      <c r="E18" s="29"/>
      <c r="F18" s="29"/>
      <c r="G18" s="29"/>
      <c r="H18" s="29"/>
      <c r="I18" s="29"/>
      <c r="J18" s="29"/>
      <c r="K18" s="29"/>
      <c r="L18" s="29"/>
    </row>
    <row r="19" customFormat="false" ht="15" hidden="false" customHeight="false" outlineLevel="0" collapsed="false">
      <c r="A19" s="16" t="s">
        <v>775</v>
      </c>
      <c r="B19" s="29" t="str">
        <f aca="false">IF(AND($B$5="CON",Scheda_1!$D$145&lt;&gt;"Sì"),"ATTENZIONE: procedimento di condono, attivare la sezione H","")</f>
        <v/>
      </c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customFormat="false" ht="15" hidden="false" customHeight="false" outlineLevel="0" collapsed="false">
      <c r="A20" s="16" t="s">
        <v>776</v>
      </c>
      <c r="B20" s="29" t="str">
        <f aca="false">IF(AND(Scheda_1!$D$19="Edilizia libera",Scheda_1!$D$217&lt;&gt;"Sì"),"ATTENZIONE: edilizia libera, attivare la sezione M","")</f>
        <v/>
      </c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customFormat="false" ht="15" hidden="false" customHeight="false" outlineLevel="0" collapsed="false">
      <c r="A21" s="16" t="s">
        <v>777</v>
      </c>
      <c r="B21" s="29" t="str">
        <f aca="false">IF(AND(Scheda_1!$D$20="Recupero abitativo del sottotetto",Scheda_1!$D$171&lt;&gt;"Sì"),"ATTENZIONE: recupero del sottotetto, attivare la sezione I","")</f>
        <v/>
      </c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customFormat="false" ht="15" hidden="false" customHeight="false" outlineLevel="0" collapsed="false">
      <c r="A22" s="16" t="s">
        <v>778</v>
      </c>
      <c r="B22" s="29" t="str">
        <f aca="false">IF(AND(Scheda_1!$D$52="Sì",Scheda_1!$D$236&lt;&gt;"Sì"),"ATTENZIONE: lavori su parti strutturali, attivare la sezione S","")</f>
        <v/>
      </c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customFormat="false" ht="15" hidden="false" customHeight="false" outlineLevel="0" collapsed="false">
      <c r="A23" s="16" t="s">
        <v>779</v>
      </c>
      <c r="B23" s="29" t="str">
        <f aca="false">IF(Scheda_1!$D$236&lt;&gt;"Sì","",IF(Scheda_1!$D$239="Sì","Autorizzazione sismica: Genio Civile (istanza già inoltrata prima del 01/11/2025, LR 26/2025)",IF(OR(AND(ISNUMBER(Scheda_1!$D$237),Scheda_1!$D$237&gt;16.5),AND(ISNUMBER(Scheda_1!$D$238),Scheda_1!$D$238&gt;4)),"Autorizzazione sismica: Genio Civile (oltre i limiti LR 26/2025: 16,50 m / 4,00 m)",IF(AND(ISNUMBER(Scheda_1!$D$237),ISNUMBER(Scheda_1!$D$238)),"Autorizzazione sismica: Comune (commissione sismica attiva, entro i limiti LR 26/2025)","Competenza sismica non determinabile: altezza strutturale o profondità interrata mancante"))))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customFormat="false" ht="15" hidden="false" customHeight="false" outlineLevel="0" collapsed="false">
      <c r="A24" s="16" t="s">
        <v>780</v>
      </c>
      <c r="B24" s="29" t="str">
        <f aca="false">IF(OR(Scheda_1!$D$46="R3",Scheda_1!$D$46="R4",Scheda_1!$D$47="R3",Scheda_1!$D$47="R4"),"Rischio PSAI R3/R4: sez. 5 e 5 bis; incentivi di rigenerazione esclusi (art. 33 quater LR 16/2004)","")</f>
        <v/>
      </c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customFormat="false" ht="15" hidden="false" customHeight="false" outlineLevel="0" collapsed="false">
      <c r="A25" s="16" t="s">
        <v>781</v>
      </c>
      <c r="B25" s="29" t="str">
        <f aca="false">IF(AND(OR(AND(Scheda_1!$D$46&lt;&gt;"",Scheda_1!$D$46&lt;&gt;"Nessuno",Scheda_1!$D$46&lt;&gt;"Non noto"),AND(Scheda_1!$D$47&lt;&gt;"",Scheda_1!$D$47&lt;&gt;"Nessuno",Scheda_1!$D$47&lt;&gt;"Non noto")),OR($B$6=1,$B$7=1)),"Intervento nuovo o con aumento di carico in area a rischio: segnalare la verifica del rischio atteso PSAI senza concludere (sez. 8 n. 27)","")</f>
        <v/>
      </c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customFormat="false" ht="15" hidden="false" customHeight="false" outlineLevel="0" collapsed="false">
      <c r="A26" s="16" t="s">
        <v>782</v>
      </c>
      <c r="B26" s="29" t="str">
        <f aca="false">IF(Scheda_1!$D$242&lt;&gt;"Sì","",IF(OR(Scheda_1!$D$245="Sì",Scheda_1!$D$246="Sì",Scheda_1!$D$247="Sì",Scheda_1!$D$244="Altro (eccedente)"),"Delibera C.C. 22/2023: intervento oltre i limiti, servono fascicolo integrato, valutazione NTC 8.3, autodichiarazione e perizia giurata (sez. 37.2)","Delibera C.C. 22/2023: intervento entro i limiti di MO, MS, efficientamento, restauro; verificare le quattro condizioni (sez. 37.2)"))</f>
        <v/>
      </c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customFormat="false" ht="15" hidden="false" customHeight="false" outlineLevel="0" collapsed="false">
      <c r="A27" s="16" t="s">
        <v>783</v>
      </c>
      <c r="B27" s="29" t="str">
        <f aca="false">IF(AND(ISNUMBER(Scheda_1!$D$62),ISNUMBER(Scheda_1!$D$22),Scheda_1!$D$62&gt;Scheda_1!$D$22),"ATTENZIONE: data di realizzazione successiva alla data di presentazione","")</f>
        <v/>
      </c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customFormat="false" ht="15" hidden="false" customHeight="false" outlineLevel="0" collapsed="false">
      <c r="A28" s="16" t="s">
        <v>784</v>
      </c>
      <c r="B28" s="29" t="str">
        <f aca="false">IF(OR(Scheda_1!$D$119="Sì",Scheda_1!$D$98="Sì"),"ATTENZIONE: aumento di volumi abitabili o mutamento d'uso verso l'abitativo in zona rossa (LR 21/2003, sez. 17)","")</f>
        <v/>
      </c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customFormat="false" ht="15" hidden="false" customHeight="false" outlineLevel="0" collapsed="false">
      <c r="A29" s="16" t="s">
        <v>785</v>
      </c>
      <c r="B29" s="29" t="str">
        <f aca="false">IF(AND(Scheda_1!$D$193="Sì",Scheda_1!$D$29=""),"Contributo: zona omogenea A-F non determinata, indicarla nella scheda (sez. 29.3, 35)","")</f>
        <v/>
      </c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1" customFormat="false" ht="15" hidden="false" customHeight="false" outlineLevel="0" collapsed="false">
      <c r="A31" s="3" t="s">
        <v>786</v>
      </c>
    </row>
    <row r="32" customFormat="false" ht="15" hidden="false" customHeight="false" outlineLevel="0" collapsed="false">
      <c r="A32" s="30" t="s">
        <v>29</v>
      </c>
      <c r="B32" s="30" t="s">
        <v>31</v>
      </c>
      <c r="C32" s="30" t="s">
        <v>30</v>
      </c>
      <c r="D32" s="30" t="s">
        <v>787</v>
      </c>
      <c r="E32" s="30" t="s">
        <v>788</v>
      </c>
      <c r="F32" s="30" t="s">
        <v>789</v>
      </c>
      <c r="G32" s="30" t="s">
        <v>790</v>
      </c>
      <c r="H32" s="30" t="s">
        <v>791</v>
      </c>
      <c r="I32" s="30" t="s">
        <v>792</v>
      </c>
      <c r="J32" s="30" t="s">
        <v>793</v>
      </c>
      <c r="K32" s="30" t="s">
        <v>794</v>
      </c>
      <c r="L32" s="30" t="s">
        <v>36</v>
      </c>
    </row>
    <row r="33" customFormat="false" ht="15" hidden="false" customHeight="false" outlineLevel="0" collapsed="false">
      <c r="A33" s="16" t="s">
        <v>39</v>
      </c>
      <c r="B33" s="31" t="s">
        <v>41</v>
      </c>
      <c r="C33" s="16" t="s">
        <v>40</v>
      </c>
      <c r="D33" s="32"/>
      <c r="E33" s="32"/>
      <c r="F33" s="32"/>
      <c r="G33" s="32"/>
      <c r="H33" s="32" t="n">
        <v>1</v>
      </c>
      <c r="I33" s="32" t="n">
        <v>1</v>
      </c>
      <c r="J33" s="32" t="n">
        <f aca="false">IF($B$5="","",IF($B$5="ORD",D33,IF($B$5="CON",E33,IF($B$5="AGI",F33,G33))))</f>
        <v>0</v>
      </c>
      <c r="K33" s="32" t="n">
        <v>0</v>
      </c>
      <c r="L33" s="32" t="str">
        <f aca="false">IF(K33=0,"",IF(LEN(TRIM(Scheda_1!$D$9&amp;""))=0,"MANCANTE",IF(LEFT(LOWER(TRIM(Scheda_1!$D$9&amp;"")),7)="non not","NON NOTO","ok")))</f>
        <v/>
      </c>
    </row>
    <row r="34" customFormat="false" ht="15" hidden="false" customHeight="false" outlineLevel="0" collapsed="false">
      <c r="A34" s="16" t="s">
        <v>45</v>
      </c>
      <c r="B34" s="31" t="s">
        <v>46</v>
      </c>
      <c r="C34" s="16" t="s">
        <v>40</v>
      </c>
      <c r="D34" s="32"/>
      <c r="E34" s="32"/>
      <c r="F34" s="32"/>
      <c r="G34" s="32"/>
      <c r="H34" s="32" t="n">
        <v>1</v>
      </c>
      <c r="I34" s="32" t="n">
        <v>1</v>
      </c>
      <c r="J34" s="32" t="n">
        <f aca="false">IF($B$5="","",IF($B$5="ORD",D34,IF($B$5="CON",E34,IF($B$5="AGI",F34,G34))))</f>
        <v>0</v>
      </c>
      <c r="K34" s="32" t="n">
        <v>0</v>
      </c>
      <c r="L34" s="32" t="str">
        <f aca="false">IF(K34=0,"",IF(LEN(TRIM(Scheda_1!$D$10&amp;""))=0,"MANCANTE",IF(LEFT(LOWER(TRIM(Scheda_1!$D$10&amp;"")),7)="non not","NON NOTO","ok")))</f>
        <v/>
      </c>
    </row>
    <row r="35" customFormat="false" ht="15" hidden="false" customHeight="false" outlineLevel="0" collapsed="false">
      <c r="A35" s="16" t="s">
        <v>49</v>
      </c>
      <c r="B35" s="31" t="s">
        <v>50</v>
      </c>
      <c r="C35" s="16" t="s">
        <v>40</v>
      </c>
      <c r="D35" s="32"/>
      <c r="E35" s="32"/>
      <c r="F35" s="32"/>
      <c r="G35" s="32"/>
      <c r="H35" s="32" t="n">
        <v>1</v>
      </c>
      <c r="I35" s="32" t="n">
        <v>1</v>
      </c>
      <c r="J35" s="32" t="n">
        <f aca="false">IF($B$5="","",IF($B$5="ORD",D35,IF($B$5="CON",E35,IF($B$5="AGI",F35,G35))))</f>
        <v>0</v>
      </c>
      <c r="K35" s="32" t="n">
        <v>0</v>
      </c>
      <c r="L35" s="32" t="str">
        <f aca="false">IF(K35=0,"",IF(LEN(TRIM(Scheda_1!$D$11&amp;""))=0,"MANCANTE",IF(LEFT(LOWER(TRIM(Scheda_1!$D$11&amp;"")),7)="non not","NON NOTO","ok")))</f>
        <v/>
      </c>
    </row>
    <row r="36" customFormat="false" ht="15" hidden="false" customHeight="false" outlineLevel="0" collapsed="false">
      <c r="A36" s="16" t="s">
        <v>53</v>
      </c>
      <c r="B36" s="31" t="s">
        <v>54</v>
      </c>
      <c r="C36" s="16" t="s">
        <v>40</v>
      </c>
      <c r="D36" s="32"/>
      <c r="E36" s="32"/>
      <c r="F36" s="32"/>
      <c r="G36" s="32"/>
      <c r="H36" s="32" t="n">
        <v>1</v>
      </c>
      <c r="I36" s="32" t="n">
        <v>1</v>
      </c>
      <c r="J36" s="32" t="n">
        <f aca="false">IF($B$5="","",IF($B$5="ORD",D36,IF($B$5="CON",E36,IF($B$5="AGI",F36,G36))))</f>
        <v>0</v>
      </c>
      <c r="K36" s="32" t="n">
        <v>0</v>
      </c>
      <c r="L36" s="32" t="str">
        <f aca="false">IF(K36=0,"",IF(LEN(TRIM(Scheda_1!$D$12&amp;""))=0,"MANCANTE",IF(LEFT(LOWER(TRIM(Scheda_1!$D$12&amp;"")),7)="non not","NON NOTO","ok")))</f>
        <v/>
      </c>
    </row>
    <row r="37" customFormat="false" ht="15" hidden="false" customHeight="false" outlineLevel="0" collapsed="false">
      <c r="A37" s="16" t="s">
        <v>57</v>
      </c>
      <c r="B37" s="31" t="s">
        <v>58</v>
      </c>
      <c r="C37" s="16" t="s">
        <v>40</v>
      </c>
      <c r="D37" s="32"/>
      <c r="E37" s="32"/>
      <c r="F37" s="32"/>
      <c r="G37" s="32"/>
      <c r="H37" s="32" t="n">
        <v>1</v>
      </c>
      <c r="I37" s="32" t="n">
        <v>1</v>
      </c>
      <c r="J37" s="32" t="n">
        <f aca="false">IF($B$5="","",IF($B$5="ORD",D37,IF($B$5="CON",E37,IF($B$5="AGI",F37,G37))))</f>
        <v>0</v>
      </c>
      <c r="K37" s="32" t="n">
        <v>0</v>
      </c>
      <c r="L37" s="32" t="str">
        <f aca="false">IF(K37=0,"",IF(LEN(TRIM(Scheda_1!$D$13&amp;""))=0,"MANCANTE",IF(LEFT(LOWER(TRIM(Scheda_1!$D$13&amp;"")),7)="non not","NON NOTO","ok")))</f>
        <v/>
      </c>
    </row>
    <row r="38" customFormat="false" ht="15" hidden="false" customHeight="false" outlineLevel="0" collapsed="false">
      <c r="A38" s="16" t="s">
        <v>61</v>
      </c>
      <c r="B38" s="31" t="s">
        <v>62</v>
      </c>
      <c r="C38" s="16" t="s">
        <v>40</v>
      </c>
      <c r="D38" s="32"/>
      <c r="E38" s="32"/>
      <c r="F38" s="32"/>
      <c r="G38" s="32"/>
      <c r="H38" s="32" t="n">
        <v>1</v>
      </c>
      <c r="I38" s="32" t="n">
        <v>1</v>
      </c>
      <c r="J38" s="32" t="n">
        <f aca="false">IF($B$5="","",IF($B$5="ORD",D38,IF($B$5="CON",E38,IF($B$5="AGI",F38,G38))))</f>
        <v>0</v>
      </c>
      <c r="K38" s="32" t="n">
        <v>0</v>
      </c>
      <c r="L38" s="32" t="str">
        <f aca="false">IF(K38=0,"",IF(LEN(TRIM(Scheda_1!$D$14&amp;""))=0,"MANCANTE",IF(LEFT(LOWER(TRIM(Scheda_1!$D$14&amp;"")),7)="non not","NON NOTO","ok")))</f>
        <v/>
      </c>
    </row>
    <row r="39" customFormat="false" ht="15" hidden="false" customHeight="false" outlineLevel="0" collapsed="false">
      <c r="A39" s="16" t="s">
        <v>65</v>
      </c>
      <c r="B39" s="31" t="s">
        <v>66</v>
      </c>
      <c r="C39" s="16" t="s">
        <v>40</v>
      </c>
      <c r="D39" s="32"/>
      <c r="E39" s="32"/>
      <c r="F39" s="32"/>
      <c r="G39" s="32"/>
      <c r="H39" s="32" t="n">
        <v>1</v>
      </c>
      <c r="I39" s="32" t="n">
        <v>1</v>
      </c>
      <c r="J39" s="32" t="n">
        <f aca="false">IF($B$5="","",IF($B$5="ORD",D39,IF($B$5="CON",E39,IF($B$5="AGI",F39,G39))))</f>
        <v>0</v>
      </c>
      <c r="K39" s="32" t="n">
        <v>0</v>
      </c>
      <c r="L39" s="32" t="str">
        <f aca="false">IF(K39=0,"",IF(LEN(TRIM(Scheda_1!$D$15&amp;""))=0,"MANCANTE",IF(LEFT(LOWER(TRIM(Scheda_1!$D$15&amp;"")),7)="non not","NON NOTO","ok")))</f>
        <v/>
      </c>
    </row>
    <row r="40" customFormat="false" ht="15" hidden="false" customHeight="false" outlineLevel="0" collapsed="false">
      <c r="A40" s="16" t="s">
        <v>71</v>
      </c>
      <c r="B40" s="31" t="s">
        <v>73</v>
      </c>
      <c r="C40" s="16" t="s">
        <v>72</v>
      </c>
      <c r="D40" s="32" t="s">
        <v>795</v>
      </c>
      <c r="E40" s="32" t="s">
        <v>795</v>
      </c>
      <c r="F40" s="32" t="s">
        <v>795</v>
      </c>
      <c r="G40" s="32" t="s">
        <v>795</v>
      </c>
      <c r="H40" s="32" t="n">
        <v>1</v>
      </c>
      <c r="I40" s="32" t="n">
        <v>1</v>
      </c>
      <c r="J40" s="32" t="str">
        <f aca="false">IF($B$5="","",IF($B$5="ORD",D40,IF($B$5="CON",E40,IF($B$5="AGI",F40,G40))))</f>
        <v>X</v>
      </c>
      <c r="K40" s="32" t="n">
        <f aca="false">IF(H40=1,1,0)</f>
        <v>1</v>
      </c>
      <c r="L40" s="32" t="str">
        <f aca="false">IF(K40=0,"",IF(LEN(TRIM(Scheda_1!$D$18&amp;""))=0,"MANCANTE",IF(LEFT(LOWER(TRIM(Scheda_1!$D$18&amp;"")),7)="non not","NON NOTO","ok")))</f>
        <v>ok</v>
      </c>
    </row>
    <row r="41" customFormat="false" ht="15" hidden="false" customHeight="false" outlineLevel="0" collapsed="false">
      <c r="A41" s="16" t="s">
        <v>77</v>
      </c>
      <c r="B41" s="31" t="s">
        <v>78</v>
      </c>
      <c r="C41" s="16" t="s">
        <v>72</v>
      </c>
      <c r="D41" s="32" t="s">
        <v>795</v>
      </c>
      <c r="E41" s="32" t="s">
        <v>795</v>
      </c>
      <c r="F41" s="32" t="s">
        <v>795</v>
      </c>
      <c r="G41" s="32" t="s">
        <v>795</v>
      </c>
      <c r="H41" s="32" t="n">
        <v>1</v>
      </c>
      <c r="I41" s="32" t="n">
        <v>1</v>
      </c>
      <c r="J41" s="32" t="str">
        <f aca="false">IF($B$5="","",IF($B$5="ORD",D41,IF($B$5="CON",E41,IF($B$5="AGI",F41,G41))))</f>
        <v>X</v>
      </c>
      <c r="K41" s="32" t="n">
        <f aca="false">IF(H41=1,1,0)</f>
        <v>1</v>
      </c>
      <c r="L41" s="32" t="str">
        <f aca="false">IF(K41=0,"",IF(LEN(TRIM(Scheda_1!$D$19&amp;""))=0,"MANCANTE",IF(LEFT(LOWER(TRIM(Scheda_1!$D$19&amp;"")),7)="non not","NON NOTO","ok")))</f>
        <v>ok</v>
      </c>
    </row>
    <row r="42" customFormat="false" ht="15" hidden="false" customHeight="false" outlineLevel="0" collapsed="false">
      <c r="A42" s="16" t="s">
        <v>81</v>
      </c>
      <c r="B42" s="31" t="s">
        <v>82</v>
      </c>
      <c r="C42" s="16" t="s">
        <v>72</v>
      </c>
      <c r="D42" s="32" t="s">
        <v>795</v>
      </c>
      <c r="E42" s="32"/>
      <c r="F42" s="32"/>
      <c r="G42" s="32" t="s">
        <v>795</v>
      </c>
      <c r="H42" s="32" t="n">
        <v>1</v>
      </c>
      <c r="I42" s="32" t="n">
        <v>1</v>
      </c>
      <c r="J42" s="32" t="str">
        <f aca="false">IF($B$5="","",IF($B$5="ORD",D42,IF($B$5="CON",E42,IF($B$5="AGI",F42,G42))))</f>
        <v>X</v>
      </c>
      <c r="K42" s="32" t="n">
        <f aca="false">IF(OR(H42=0,I42=0,J42=""),0,IF(IF(J42="X",1,IF(J42="P",$B$6,IF(J42="C",$B$7,IF(J42="DR",$B$8,IF(J42="T",$B$9,0)))))=1,1,0))</f>
        <v>1</v>
      </c>
      <c r="L42" s="32" t="str">
        <f aca="false">IF(K42=0,"",IF(LEN(TRIM(Scheda_1!$D$20&amp;""))=0,"MANCANTE",IF(LEFT(LOWER(TRIM(Scheda_1!$D$20&amp;"")),7)="non not","NON NOTO","ok")))</f>
        <v>ok</v>
      </c>
    </row>
    <row r="43" customFormat="false" ht="15" hidden="false" customHeight="false" outlineLevel="0" collapsed="false">
      <c r="A43" s="16" t="s">
        <v>86</v>
      </c>
      <c r="B43" s="31" t="s">
        <v>87</v>
      </c>
      <c r="C43" s="16" t="s">
        <v>72</v>
      </c>
      <c r="D43" s="32" t="s">
        <v>795</v>
      </c>
      <c r="E43" s="32" t="s">
        <v>795</v>
      </c>
      <c r="F43" s="32"/>
      <c r="G43" s="32" t="s">
        <v>795</v>
      </c>
      <c r="H43" s="32" t="n">
        <v>1</v>
      </c>
      <c r="I43" s="32" t="n">
        <v>1</v>
      </c>
      <c r="J43" s="32" t="str">
        <f aca="false">IF($B$5="","",IF($B$5="ORD",D43,IF($B$5="CON",E43,IF($B$5="AGI",F43,G43))))</f>
        <v>X</v>
      </c>
      <c r="K43" s="32" t="n">
        <f aca="false">IF(OR(H43=0,I43=0,J43=""),0,IF(IF(J43="X",1,IF(J43="P",$B$6,IF(J43="C",$B$7,IF(J43="DR",$B$8,IF(J43="T",$B$9,0)))))=1,1,0))</f>
        <v>1</v>
      </c>
      <c r="L43" s="32" t="str">
        <f aca="false">IF(K43=0,"",IF(LEN(TRIM(Scheda_1!$D$21&amp;""))=0,"MANCANTE",IF(LEFT(LOWER(TRIM(Scheda_1!$D$21&amp;"")),7)="non not","NON NOTO","ok")))</f>
        <v>ok</v>
      </c>
    </row>
    <row r="44" customFormat="false" ht="15" hidden="false" customHeight="false" outlineLevel="0" collapsed="false">
      <c r="A44" s="16" t="s">
        <v>91</v>
      </c>
      <c r="B44" s="31" t="s">
        <v>92</v>
      </c>
      <c r="C44" s="16" t="s">
        <v>72</v>
      </c>
      <c r="D44" s="32" t="s">
        <v>795</v>
      </c>
      <c r="E44" s="32" t="s">
        <v>795</v>
      </c>
      <c r="F44" s="32" t="s">
        <v>795</v>
      </c>
      <c r="G44" s="32" t="s">
        <v>795</v>
      </c>
      <c r="H44" s="32" t="n">
        <v>1</v>
      </c>
      <c r="I44" s="32" t="n">
        <v>1</v>
      </c>
      <c r="J44" s="32" t="str">
        <f aca="false">IF($B$5="","",IF($B$5="ORD",D44,IF($B$5="CON",E44,IF($B$5="AGI",F44,G44))))</f>
        <v>X</v>
      </c>
      <c r="K44" s="32" t="n">
        <f aca="false">IF(OR(H44=0,I44=0,J44=""),0,IF(IF(J44="X",1,IF(J44="P",$B$6,IF(J44="C",$B$7,IF(J44="DR",$B$8,IF(J44="T",$B$9,0)))))=1,1,0))</f>
        <v>1</v>
      </c>
      <c r="L44" s="32" t="str">
        <f aca="false">IF(K44=0,"",IF(LEN(TRIM(Scheda_1!$D$22&amp;""))=0,"MANCANTE",IF(LEFT(LOWER(TRIM(Scheda_1!$D$22&amp;"")),7)="non not","NON NOTO","ok")))</f>
        <v>ok</v>
      </c>
    </row>
    <row r="45" customFormat="false" ht="15" hidden="false" customHeight="false" outlineLevel="0" collapsed="false">
      <c r="A45" s="16" t="s">
        <v>94</v>
      </c>
      <c r="B45" s="31" t="s">
        <v>95</v>
      </c>
      <c r="C45" s="16" t="s">
        <v>72</v>
      </c>
      <c r="D45" s="32" t="s">
        <v>795</v>
      </c>
      <c r="E45" s="32"/>
      <c r="F45" s="32"/>
      <c r="G45" s="32"/>
      <c r="H45" s="32" t="n">
        <v>1</v>
      </c>
      <c r="I45" s="32" t="n">
        <f aca="false">IF(Scheda_1!$D$19="PdC",1,0)</f>
        <v>0</v>
      </c>
      <c r="J45" s="32" t="str">
        <f aca="false">IF($B$5="","",IF($B$5="ORD",D45,IF($B$5="CON",E45,IF($B$5="AGI",F45,G45))))</f>
        <v>X</v>
      </c>
      <c r="K45" s="32" t="n">
        <f aca="false">IF(OR(H45=0,I45=0,J45=""),0,IF(IF(J45="X",1,IF(J45="P",$B$6,IF(J45="C",$B$7,IF(J45="DR",$B$8,IF(J45="T",$B$9,0)))))=1,1,0))</f>
        <v>0</v>
      </c>
      <c r="L45" s="32" t="str">
        <f aca="false">IF(K45=0,"",IF(LEN(TRIM(Scheda_1!$D$23&amp;""))=0,"MANCANTE",IF(LEFT(LOWER(TRIM(Scheda_1!$D$23&amp;"")),7)="non not","NON NOTO","ok")))</f>
        <v/>
      </c>
    </row>
    <row r="46" customFormat="false" ht="15" hidden="false" customHeight="false" outlineLevel="0" collapsed="false">
      <c r="A46" s="16" t="s">
        <v>100</v>
      </c>
      <c r="B46" s="31" t="s">
        <v>102</v>
      </c>
      <c r="C46" s="16" t="s">
        <v>101</v>
      </c>
      <c r="D46" s="32" t="s">
        <v>795</v>
      </c>
      <c r="E46" s="32" t="s">
        <v>795</v>
      </c>
      <c r="F46" s="32"/>
      <c r="G46" s="32" t="s">
        <v>795</v>
      </c>
      <c r="H46" s="32" t="n">
        <v>1</v>
      </c>
      <c r="I46" s="32" t="n">
        <v>1</v>
      </c>
      <c r="J46" s="32" t="str">
        <f aca="false">IF($B$5="","",IF($B$5="ORD",D46,IF($B$5="CON",E46,IF($B$5="AGI",F46,G46))))</f>
        <v>X</v>
      </c>
      <c r="K46" s="32" t="n">
        <f aca="false">IF(OR(H46=0,I46=0,J46=""),0,IF(IF(J46="X",1,IF(J46="P",$B$6,IF(J46="C",$B$7,IF(J46="DR",$B$8,IF(J46="T",$B$9,0)))))=1,1,0))</f>
        <v>1</v>
      </c>
      <c r="L46" s="32" t="str">
        <f aca="false">IF(K46=0,"",IF(LEN(TRIM(Scheda_1!$D$26&amp;""))=0,"MANCANTE",IF(LEFT(LOWER(TRIM(Scheda_1!$D$26&amp;"")),7)="non not","NON NOTO","ok")))</f>
        <v>ok</v>
      </c>
    </row>
    <row r="47" customFormat="false" ht="15" hidden="false" customHeight="false" outlineLevel="0" collapsed="false">
      <c r="A47" s="16" t="s">
        <v>105</v>
      </c>
      <c r="B47" s="31" t="s">
        <v>106</v>
      </c>
      <c r="C47" s="16" t="s">
        <v>101</v>
      </c>
      <c r="D47" s="32"/>
      <c r="E47" s="32"/>
      <c r="F47" s="32"/>
      <c r="G47" s="32"/>
      <c r="H47" s="32" t="n">
        <v>1</v>
      </c>
      <c r="I47" s="32" t="n">
        <v>1</v>
      </c>
      <c r="J47" s="32" t="n">
        <f aca="false">IF($B$5="","",IF($B$5="ORD",D47,IF($B$5="CON",E47,IF($B$5="AGI",F47,G47))))</f>
        <v>0</v>
      </c>
      <c r="K47" s="32" t="n">
        <v>0</v>
      </c>
      <c r="L47" s="32" t="str">
        <f aca="false">IF(K47=0,"",IF(LEN(TRIM(Scheda_1!$D$27&amp;""))=0,"MANCANTE",IF(LEFT(LOWER(TRIM(Scheda_1!$D$27&amp;"")),7)="non not","NON NOTO","ok")))</f>
        <v/>
      </c>
    </row>
    <row r="48" customFormat="false" ht="15" hidden="false" customHeight="false" outlineLevel="0" collapsed="false">
      <c r="A48" s="16" t="s">
        <v>108</v>
      </c>
      <c r="B48" s="31" t="s">
        <v>109</v>
      </c>
      <c r="C48" s="16" t="s">
        <v>101</v>
      </c>
      <c r="D48" s="32"/>
      <c r="E48" s="32"/>
      <c r="F48" s="32"/>
      <c r="G48" s="32"/>
      <c r="H48" s="32" t="n">
        <v>1</v>
      </c>
      <c r="I48" s="32" t="n">
        <v>1</v>
      </c>
      <c r="J48" s="32" t="n">
        <f aca="false">IF($B$5="","",IF($B$5="ORD",D48,IF($B$5="CON",E48,IF($B$5="AGI",F48,G48))))</f>
        <v>0</v>
      </c>
      <c r="K48" s="32" t="n">
        <f aca="false">IF(OR(H48=0,I48=0,J48=""),0,IF(IF(J48="X",1,IF(J48="P",$B$6,IF(J48="C",$B$7,IF(J48="DR",$B$8,IF(J48="T",$B$9,0)))))=1,1,0))</f>
        <v>0</v>
      </c>
      <c r="L48" s="32" t="str">
        <f aca="false">IF(K48=0,"",IF(LEN(TRIM(Scheda_1!$D$28&amp;""))=0,"MANCANTE",IF(LEFT(LOWER(TRIM(Scheda_1!$D$28&amp;"")),7)="non not","NON NOTO","ok")))</f>
        <v/>
      </c>
    </row>
    <row r="49" customFormat="false" ht="15" hidden="false" customHeight="false" outlineLevel="0" collapsed="false">
      <c r="A49" s="16" t="s">
        <v>112</v>
      </c>
      <c r="B49" s="31" t="s">
        <v>113</v>
      </c>
      <c r="C49" s="16" t="s">
        <v>101</v>
      </c>
      <c r="D49" s="32"/>
      <c r="E49" s="32"/>
      <c r="F49" s="32"/>
      <c r="G49" s="32"/>
      <c r="H49" s="32" t="n">
        <v>1</v>
      </c>
      <c r="I49" s="32" t="n">
        <v>1</v>
      </c>
      <c r="J49" s="32" t="n">
        <f aca="false">IF($B$5="","",IF($B$5="ORD",D49,IF($B$5="CON",E49,IF($B$5="AGI",F49,G49))))</f>
        <v>0</v>
      </c>
      <c r="K49" s="32" t="n">
        <v>0</v>
      </c>
      <c r="L49" s="32" t="str">
        <f aca="false">IF(K49=0,"",IF(LEN(TRIM(Scheda_1!$D$29&amp;""))=0,"MANCANTE",IF(LEFT(LOWER(TRIM(Scheda_1!$D$29&amp;"")),7)="non not","NON NOTO","ok")))</f>
        <v/>
      </c>
    </row>
    <row r="50" customFormat="false" ht="15" hidden="false" customHeight="false" outlineLevel="0" collapsed="false">
      <c r="A50" s="16" t="s">
        <v>115</v>
      </c>
      <c r="B50" s="31" t="s">
        <v>116</v>
      </c>
      <c r="C50" s="16" t="s">
        <v>101</v>
      </c>
      <c r="D50" s="32" t="s">
        <v>795</v>
      </c>
      <c r="E50" s="32" t="s">
        <v>795</v>
      </c>
      <c r="F50" s="32"/>
      <c r="G50" s="32" t="s">
        <v>795</v>
      </c>
      <c r="H50" s="32" t="n">
        <v>1</v>
      </c>
      <c r="I50" s="32" t="n">
        <v>1</v>
      </c>
      <c r="J50" s="32" t="str">
        <f aca="false">IF($B$5="","",IF($B$5="ORD",D50,IF($B$5="CON",E50,IF($B$5="AGI",F50,G50))))</f>
        <v>X</v>
      </c>
      <c r="K50" s="32" t="n">
        <f aca="false">IF(OR(H50=0,I50=0,J50=""),0,IF(IF(J50="X",1,IF(J50="P",$B$6,IF(J50="C",$B$7,IF(J50="DR",$B$8,IF(J50="T",$B$9,0)))))=1,1,0))</f>
        <v>1</v>
      </c>
      <c r="L50" s="32" t="str">
        <f aca="false">IF(K50=0,"",IF(LEN(TRIM(Scheda_1!$D$30&amp;""))=0,"MANCANTE",IF(LEFT(LOWER(TRIM(Scheda_1!$D$30&amp;"")),7)="non not","NON NOTO","ok")))</f>
        <v>ok</v>
      </c>
    </row>
    <row r="51" customFormat="false" ht="15" hidden="false" customHeight="false" outlineLevel="0" collapsed="false">
      <c r="A51" s="16" t="s">
        <v>119</v>
      </c>
      <c r="B51" s="31" t="s">
        <v>120</v>
      </c>
      <c r="C51" s="16" t="s">
        <v>101</v>
      </c>
      <c r="D51" s="32" t="s">
        <v>795</v>
      </c>
      <c r="E51" s="32" t="s">
        <v>795</v>
      </c>
      <c r="F51" s="32"/>
      <c r="G51" s="32" t="s">
        <v>795</v>
      </c>
      <c r="H51" s="32" t="n">
        <v>1</v>
      </c>
      <c r="I51" s="32" t="n">
        <v>1</v>
      </c>
      <c r="J51" s="32" t="str">
        <f aca="false">IF($B$5="","",IF($B$5="ORD",D51,IF($B$5="CON",E51,IF($B$5="AGI",F51,G51))))</f>
        <v>X</v>
      </c>
      <c r="K51" s="32" t="n">
        <f aca="false">IF(OR(H51=0,I51=0,J51=""),0,IF(IF(J51="X",1,IF(J51="P",$B$6,IF(J51="C",$B$7,IF(J51="DR",$B$8,IF(J51="T",$B$9,0)))))=1,1,0))</f>
        <v>1</v>
      </c>
      <c r="L51" s="32" t="str">
        <f aca="false">IF(K51=0,"",IF(LEN(TRIM(Scheda_1!$D$31&amp;""))=0,"MANCANTE",IF(LEFT(LOWER(TRIM(Scheda_1!$D$31&amp;"")),7)="non not","NON NOTO","ok")))</f>
        <v>ok</v>
      </c>
    </row>
    <row r="52" customFormat="false" ht="15" hidden="false" customHeight="false" outlineLevel="0" collapsed="false">
      <c r="A52" s="16" t="s">
        <v>123</v>
      </c>
      <c r="B52" s="31" t="s">
        <v>124</v>
      </c>
      <c r="C52" s="16" t="s">
        <v>101</v>
      </c>
      <c r="D52" s="32" t="s">
        <v>795</v>
      </c>
      <c r="E52" s="32" t="s">
        <v>795</v>
      </c>
      <c r="F52" s="32"/>
      <c r="G52" s="32" t="s">
        <v>795</v>
      </c>
      <c r="H52" s="32" t="n">
        <v>1</v>
      </c>
      <c r="I52" s="32" t="n">
        <v>1</v>
      </c>
      <c r="J52" s="32" t="str">
        <f aca="false">IF($B$5="","",IF($B$5="ORD",D52,IF($B$5="CON",E52,IF($B$5="AGI",F52,G52))))</f>
        <v>X</v>
      </c>
      <c r="K52" s="32" t="n">
        <f aca="false">IF(OR(H52=0,I52=0,J52=""),0,IF(IF(J52="X",1,IF(J52="P",$B$6,IF(J52="C",$B$7,IF(J52="DR",$B$8,IF(J52="T",$B$9,0)))))=1,1,0))</f>
        <v>1</v>
      </c>
      <c r="L52" s="32" t="str">
        <f aca="false">IF(K52=0,"",IF(LEN(TRIM(Scheda_1!$D$32&amp;""))=0,"MANCANTE",IF(LEFT(LOWER(TRIM(Scheda_1!$D$32&amp;"")),7)="non not","NON NOTO","ok")))</f>
        <v>ok</v>
      </c>
    </row>
    <row r="53" customFormat="false" ht="15" hidden="false" customHeight="false" outlineLevel="0" collapsed="false">
      <c r="A53" s="16" t="s">
        <v>127</v>
      </c>
      <c r="B53" s="31" t="s">
        <v>128</v>
      </c>
      <c r="C53" s="16" t="s">
        <v>101</v>
      </c>
      <c r="D53" s="32" t="s">
        <v>795</v>
      </c>
      <c r="E53" s="32" t="s">
        <v>795</v>
      </c>
      <c r="F53" s="32"/>
      <c r="G53" s="32" t="s">
        <v>795</v>
      </c>
      <c r="H53" s="32" t="n">
        <v>1</v>
      </c>
      <c r="I53" s="32" t="n">
        <v>1</v>
      </c>
      <c r="J53" s="32" t="str">
        <f aca="false">IF($B$5="","",IF($B$5="ORD",D53,IF($B$5="CON",E53,IF($B$5="AGI",F53,G53))))</f>
        <v>X</v>
      </c>
      <c r="K53" s="32" t="n">
        <f aca="false">IF(OR(H53=0,I53=0,J53=""),0,IF(IF(J53="X",1,IF(J53="P",$B$6,IF(J53="C",$B$7,IF(J53="DR",$B$8,IF(J53="T",$B$9,0)))))=1,1,0))</f>
        <v>1</v>
      </c>
      <c r="L53" s="32" t="str">
        <f aca="false">IF(K53=0,"",IF(LEN(TRIM(Scheda_1!$D$33&amp;""))=0,"MANCANTE",IF(LEFT(LOWER(TRIM(Scheda_1!$D$33&amp;"")),7)="non not","NON NOTO","ok")))</f>
        <v>ok</v>
      </c>
    </row>
    <row r="54" customFormat="false" ht="15" hidden="false" customHeight="false" outlineLevel="0" collapsed="false">
      <c r="A54" s="16" t="s">
        <v>129</v>
      </c>
      <c r="B54" s="31" t="s">
        <v>130</v>
      </c>
      <c r="C54" s="16" t="s">
        <v>101</v>
      </c>
      <c r="D54" s="32" t="s">
        <v>795</v>
      </c>
      <c r="E54" s="32" t="s">
        <v>795</v>
      </c>
      <c r="F54" s="32"/>
      <c r="G54" s="32" t="s">
        <v>795</v>
      </c>
      <c r="H54" s="32" t="n">
        <v>1</v>
      </c>
      <c r="I54" s="32" t="n">
        <v>1</v>
      </c>
      <c r="J54" s="32" t="str">
        <f aca="false">IF($B$5="","",IF($B$5="ORD",D54,IF($B$5="CON",E54,IF($B$5="AGI",F54,G54))))</f>
        <v>X</v>
      </c>
      <c r="K54" s="32" t="n">
        <f aca="false">IF(OR(H54=0,I54=0,J54=""),0,IF(IF(J54="X",1,IF(J54="P",$B$6,IF(J54="C",$B$7,IF(J54="DR",$B$8,IF(J54="T",$B$9,0)))))=1,1,0))</f>
        <v>1</v>
      </c>
      <c r="L54" s="32" t="str">
        <f aca="false">IF(K54=0,"",IF(LEN(TRIM(Scheda_1!$D$34&amp;""))=0,"MANCANTE",IF(LEFT(LOWER(TRIM(Scheda_1!$D$34&amp;"")),7)="non not","NON NOTO","ok")))</f>
        <v>ok</v>
      </c>
    </row>
    <row r="55" customFormat="false" ht="15" hidden="false" customHeight="false" outlineLevel="0" collapsed="false">
      <c r="A55" s="16" t="s">
        <v>131</v>
      </c>
      <c r="B55" s="31" t="s">
        <v>132</v>
      </c>
      <c r="C55" s="16" t="s">
        <v>101</v>
      </c>
      <c r="D55" s="32" t="s">
        <v>795</v>
      </c>
      <c r="E55" s="32" t="s">
        <v>795</v>
      </c>
      <c r="F55" s="32"/>
      <c r="G55" s="32" t="s">
        <v>795</v>
      </c>
      <c r="H55" s="32" t="n">
        <v>1</v>
      </c>
      <c r="I55" s="32" t="n">
        <v>1</v>
      </c>
      <c r="J55" s="32" t="str">
        <f aca="false">IF($B$5="","",IF($B$5="ORD",D55,IF($B$5="CON",E55,IF($B$5="AGI",F55,G55))))</f>
        <v>X</v>
      </c>
      <c r="K55" s="32" t="n">
        <f aca="false">IF(OR(H55=0,I55=0,J55=""),0,IF(IF(J55="X",1,IF(J55="P",$B$6,IF(J55="C",$B$7,IF(J55="DR",$B$8,IF(J55="T",$B$9,0)))))=1,1,0))</f>
        <v>1</v>
      </c>
      <c r="L55" s="32" t="str">
        <f aca="false">IF(K55=0,"",IF(LEN(TRIM(Scheda_1!$D$35&amp;""))=0,"MANCANTE",IF(LEFT(LOWER(TRIM(Scheda_1!$D$35&amp;"")),7)="non not","NON NOTO","ok")))</f>
        <v>ok</v>
      </c>
    </row>
    <row r="56" customFormat="false" ht="15" hidden="false" customHeight="false" outlineLevel="0" collapsed="false">
      <c r="A56" s="16" t="s">
        <v>134</v>
      </c>
      <c r="B56" s="31" t="s">
        <v>135</v>
      </c>
      <c r="C56" s="16" t="s">
        <v>101</v>
      </c>
      <c r="D56" s="32" t="s">
        <v>796</v>
      </c>
      <c r="E56" s="32" t="s">
        <v>795</v>
      </c>
      <c r="F56" s="32"/>
      <c r="G56" s="32" t="s">
        <v>796</v>
      </c>
      <c r="H56" s="32" t="n">
        <v>1</v>
      </c>
      <c r="I56" s="32" t="n">
        <v>1</v>
      </c>
      <c r="J56" s="32" t="str">
        <f aca="false">IF($B$5="","",IF($B$5="ORD",D56,IF($B$5="CON",E56,IF($B$5="AGI",F56,G56))))</f>
        <v>P</v>
      </c>
      <c r="K56" s="32" t="n">
        <f aca="false">IF(OR(H56=0,I56=0,J56=""),0,IF(IF(J56="X",1,IF(J56="P",$B$6,IF(J56="C",$B$7,IF(J56="DR",$B$8,IF(J56="T",$B$9,0)))))=1,1,0))</f>
        <v>0</v>
      </c>
      <c r="L56" s="32" t="str">
        <f aca="false">IF(K56=0,"",IF(LEN(TRIM(Scheda_1!$D$36&amp;""))=0,"MANCANTE",IF(LEFT(LOWER(TRIM(Scheda_1!$D$36&amp;"")),7)="non not","NON NOTO","ok")))</f>
        <v/>
      </c>
    </row>
    <row r="57" customFormat="false" ht="15" hidden="false" customHeight="false" outlineLevel="0" collapsed="false">
      <c r="A57" s="16" t="s">
        <v>138</v>
      </c>
      <c r="B57" s="31" t="s">
        <v>139</v>
      </c>
      <c r="C57" s="16" t="s">
        <v>101</v>
      </c>
      <c r="D57" s="32" t="s">
        <v>796</v>
      </c>
      <c r="E57" s="32"/>
      <c r="F57" s="32"/>
      <c r="G57" s="32" t="s">
        <v>796</v>
      </c>
      <c r="H57" s="32" t="n">
        <v>1</v>
      </c>
      <c r="I57" s="32" t="n">
        <f aca="false">IF(AND(Scheda_1!$D$36&lt;&gt;"",Scheda_1!$D$36&lt;&gt;"Nessuna",Scheda_1!$D$36&lt;&gt;"Non noto"),1,0)</f>
        <v>0</v>
      </c>
      <c r="J57" s="32" t="str">
        <f aca="false">IF($B$5="","",IF($B$5="ORD",D57,IF($B$5="CON",E57,IF($B$5="AGI",F57,G57))))</f>
        <v>P</v>
      </c>
      <c r="K57" s="32" t="n">
        <f aca="false">IF(OR(H57=0,I57=0,J57=""),0,IF(IF(J57="X",1,IF(J57="P",$B$6,IF(J57="C",$B$7,IF(J57="DR",$B$8,IF(J57="T",$B$9,0)))))=1,1,0))</f>
        <v>0</v>
      </c>
      <c r="L57" s="32" t="str">
        <f aca="false">IF(K57=0,"",IF(LEN(TRIM(Scheda_1!$D$37&amp;""))=0,"MANCANTE",IF(LEFT(LOWER(TRIM(Scheda_1!$D$37&amp;"")),7)="non not","NON NOTO","ok")))</f>
        <v/>
      </c>
    </row>
    <row r="58" customFormat="false" ht="15" hidden="false" customHeight="false" outlineLevel="0" collapsed="false">
      <c r="A58" s="16" t="s">
        <v>143</v>
      </c>
      <c r="B58" s="31" t="s">
        <v>144</v>
      </c>
      <c r="C58" s="16" t="s">
        <v>101</v>
      </c>
      <c r="D58" s="32" t="s">
        <v>795</v>
      </c>
      <c r="E58" s="32" t="s">
        <v>795</v>
      </c>
      <c r="F58" s="32"/>
      <c r="G58" s="32" t="s">
        <v>795</v>
      </c>
      <c r="H58" s="32" t="n">
        <v>1</v>
      </c>
      <c r="I58" s="32" t="n">
        <v>1</v>
      </c>
      <c r="J58" s="32" t="str">
        <f aca="false">IF($B$5="","",IF($B$5="ORD",D58,IF($B$5="CON",E58,IF($B$5="AGI",F58,G58))))</f>
        <v>X</v>
      </c>
      <c r="K58" s="32" t="n">
        <f aca="false">IF(OR(H58=0,I58=0,J58=""),0,IF(IF(J58="X",1,IF(J58="P",$B$6,IF(J58="C",$B$7,IF(J58="DR",$B$8,IF(J58="T",$B$9,0)))))=1,1,0))</f>
        <v>1</v>
      </c>
      <c r="L58" s="32" t="str">
        <f aca="false">IF(K58=0,"",IF(LEN(TRIM(Scheda_1!$D$38&amp;""))=0,"MANCANTE",IF(LEFT(LOWER(TRIM(Scheda_1!$D$38&amp;"")),7)="non not","NON NOTO","ok")))</f>
        <v>ok</v>
      </c>
    </row>
    <row r="59" customFormat="false" ht="15" hidden="false" customHeight="false" outlineLevel="0" collapsed="false">
      <c r="A59" s="16" t="s">
        <v>146</v>
      </c>
      <c r="B59" s="31" t="s">
        <v>147</v>
      </c>
      <c r="C59" s="16" t="s">
        <v>101</v>
      </c>
      <c r="D59" s="32"/>
      <c r="E59" s="32" t="s">
        <v>795</v>
      </c>
      <c r="F59" s="32"/>
      <c r="G59" s="32" t="s">
        <v>795</v>
      </c>
      <c r="H59" s="32" t="n">
        <v>1</v>
      </c>
      <c r="I59" s="32" t="n">
        <v>1</v>
      </c>
      <c r="J59" s="32" t="n">
        <f aca="false">IF($B$5="","",IF($B$5="ORD",D59,IF($B$5="CON",E59,IF($B$5="AGI",F59,G59))))</f>
        <v>0</v>
      </c>
      <c r="K59" s="32" t="n">
        <f aca="false">IF(OR(H59=0,I59=0,J59=""),0,IF(IF(J59="X",1,IF(J59="P",$B$6,IF(J59="C",$B$7,IF(J59="DR",$B$8,IF(J59="T",$B$9,0)))))=1,1,0))</f>
        <v>0</v>
      </c>
      <c r="L59" s="32" t="str">
        <f aca="false">IF(K59=0,"",IF(LEN(TRIM(Scheda_1!$D$39&amp;""))=0,"MANCANTE",IF(LEFT(LOWER(TRIM(Scheda_1!$D$39&amp;"")),7)="non not","NON NOTO","ok")))</f>
        <v/>
      </c>
    </row>
    <row r="60" customFormat="false" ht="15" hidden="false" customHeight="false" outlineLevel="0" collapsed="false">
      <c r="A60" s="16" t="s">
        <v>150</v>
      </c>
      <c r="B60" s="31" t="s">
        <v>151</v>
      </c>
      <c r="C60" s="16" t="s">
        <v>101</v>
      </c>
      <c r="D60" s="32"/>
      <c r="E60" s="32" t="s">
        <v>795</v>
      </c>
      <c r="F60" s="32"/>
      <c r="G60" s="32" t="s">
        <v>795</v>
      </c>
      <c r="H60" s="32" t="n">
        <v>1</v>
      </c>
      <c r="I60" s="32" t="n">
        <v>1</v>
      </c>
      <c r="J60" s="32" t="n">
        <f aca="false">IF($B$5="","",IF($B$5="ORD",D60,IF($B$5="CON",E60,IF($B$5="AGI",F60,G60))))</f>
        <v>0</v>
      </c>
      <c r="K60" s="32" t="n">
        <f aca="false">IF(OR(H60=0,I60=0,J60=""),0,IF(IF(J60="X",1,IF(J60="P",$B$6,IF(J60="C",$B$7,IF(J60="DR",$B$8,IF(J60="T",$B$9,0)))))=1,1,0))</f>
        <v>0</v>
      </c>
      <c r="L60" s="32" t="str">
        <f aca="false">IF(K60=0,"",IF(LEN(TRIM(Scheda_1!$D$40&amp;""))=0,"MANCANTE",IF(LEFT(LOWER(TRIM(Scheda_1!$D$40&amp;"")),7)="non not","NON NOTO","ok")))</f>
        <v/>
      </c>
    </row>
    <row r="61" customFormat="false" ht="15" hidden="false" customHeight="false" outlineLevel="0" collapsed="false">
      <c r="A61" s="16" t="s">
        <v>153</v>
      </c>
      <c r="B61" s="31" t="s">
        <v>154</v>
      </c>
      <c r="C61" s="16" t="s">
        <v>101</v>
      </c>
      <c r="D61" s="32"/>
      <c r="E61" s="32" t="s">
        <v>795</v>
      </c>
      <c r="F61" s="32"/>
      <c r="G61" s="32" t="s">
        <v>795</v>
      </c>
      <c r="H61" s="32" t="n">
        <v>1</v>
      </c>
      <c r="I61" s="32" t="n">
        <v>1</v>
      </c>
      <c r="J61" s="32" t="n">
        <f aca="false">IF($B$5="","",IF($B$5="ORD",D61,IF($B$5="CON",E61,IF($B$5="AGI",F61,G61))))</f>
        <v>0</v>
      </c>
      <c r="K61" s="32" t="n">
        <f aca="false">IF(OR(H61=0,I61=0,J61=""),0,IF(IF(J61="X",1,IF(J61="P",$B$6,IF(J61="C",$B$7,IF(J61="DR",$B$8,IF(J61="T",$B$9,0)))))=1,1,0))</f>
        <v>0</v>
      </c>
      <c r="L61" s="32" t="str">
        <f aca="false">IF(K61=0,"",IF(LEN(TRIM(Scheda_1!$D$41&amp;""))=0,"MANCANTE",IF(LEFT(LOWER(TRIM(Scheda_1!$D$41&amp;"")),7)="non not","NON NOTO","ok")))</f>
        <v/>
      </c>
    </row>
    <row r="62" customFormat="false" ht="15" hidden="false" customHeight="false" outlineLevel="0" collapsed="false">
      <c r="A62" s="16" t="s">
        <v>155</v>
      </c>
      <c r="B62" s="31" t="s">
        <v>156</v>
      </c>
      <c r="C62" s="16" t="s">
        <v>101</v>
      </c>
      <c r="D62" s="32" t="s">
        <v>795</v>
      </c>
      <c r="E62" s="32"/>
      <c r="F62" s="32"/>
      <c r="G62" s="32" t="s">
        <v>795</v>
      </c>
      <c r="H62" s="32" t="n">
        <v>1</v>
      </c>
      <c r="I62" s="32" t="n">
        <v>1</v>
      </c>
      <c r="J62" s="32" t="str">
        <f aca="false">IF($B$5="","",IF($B$5="ORD",D62,IF($B$5="CON",E62,IF($B$5="AGI",F62,G62))))</f>
        <v>X</v>
      </c>
      <c r="K62" s="32" t="n">
        <f aca="false">IF(OR(H62=0,I62=0,J62=""),0,IF(IF(J62="X",1,IF(J62="P",$B$6,IF(J62="C",$B$7,IF(J62="DR",$B$8,IF(J62="T",$B$9,0)))))=1,1,0))</f>
        <v>1</v>
      </c>
      <c r="L62" s="32" t="str">
        <f aca="false">IF(K62=0,"",IF(LEN(TRIM(Scheda_1!$D$42&amp;""))=0,"MANCANTE",IF(LEFT(LOWER(TRIM(Scheda_1!$D$42&amp;"")),7)="non not","NON NOTO","ok")))</f>
        <v>ok</v>
      </c>
    </row>
    <row r="63" customFormat="false" ht="15" hidden="false" customHeight="false" outlineLevel="0" collapsed="false">
      <c r="A63" s="16" t="s">
        <v>159</v>
      </c>
      <c r="B63" s="31" t="s">
        <v>160</v>
      </c>
      <c r="C63" s="16" t="s">
        <v>101</v>
      </c>
      <c r="D63" s="32" t="s">
        <v>795</v>
      </c>
      <c r="E63" s="32"/>
      <c r="F63" s="32"/>
      <c r="G63" s="32" t="s">
        <v>795</v>
      </c>
      <c r="H63" s="32" t="n">
        <v>1</v>
      </c>
      <c r="I63" s="32" t="n">
        <f aca="false">IF(OR(Scheda_1!$D$42="Allegato A (esclusa)",Scheda_1!$D$42="Allegato B (semplificata)"),1,0)</f>
        <v>0</v>
      </c>
      <c r="J63" s="32" t="str">
        <f aca="false">IF($B$5="","",IF($B$5="ORD",D63,IF($B$5="CON",E63,IF($B$5="AGI",F63,G63))))</f>
        <v>X</v>
      </c>
      <c r="K63" s="32" t="n">
        <f aca="false">IF(OR(H63=0,I63=0,J63=""),0,IF(IF(J63="X",1,IF(J63="P",$B$6,IF(J63="C",$B$7,IF(J63="DR",$B$8,IF(J63="T",$B$9,0)))))=1,1,0))</f>
        <v>0</v>
      </c>
      <c r="L63" s="32" t="str">
        <f aca="false">IF(K63=0,"",IF(LEN(TRIM(Scheda_1!$D$43&amp;""))=0,"MANCANTE",IF(LEFT(LOWER(TRIM(Scheda_1!$D$43&amp;"")),7)="non not","NON NOTO","ok")))</f>
        <v/>
      </c>
    </row>
    <row r="64" customFormat="false" ht="15" hidden="false" customHeight="false" outlineLevel="0" collapsed="false">
      <c r="A64" s="16" t="s">
        <v>165</v>
      </c>
      <c r="B64" s="31" t="s">
        <v>167</v>
      </c>
      <c r="C64" s="16" t="s">
        <v>166</v>
      </c>
      <c r="D64" s="32" t="s">
        <v>795</v>
      </c>
      <c r="E64" s="32" t="s">
        <v>795</v>
      </c>
      <c r="F64" s="32"/>
      <c r="G64" s="32" t="s">
        <v>795</v>
      </c>
      <c r="H64" s="32" t="n">
        <v>1</v>
      </c>
      <c r="I64" s="32" t="n">
        <v>1</v>
      </c>
      <c r="J64" s="32" t="str">
        <f aca="false">IF($B$5="","",IF($B$5="ORD",D64,IF($B$5="CON",E64,IF($B$5="AGI",F64,G64))))</f>
        <v>X</v>
      </c>
      <c r="K64" s="32" t="n">
        <f aca="false">IF(OR(H64=0,I64=0,J64=""),0,IF(IF(J64="X",1,IF(J64="P",$B$6,IF(J64="C",$B$7,IF(J64="DR",$B$8,IF(J64="T",$B$9,0)))))=1,1,0))</f>
        <v>1</v>
      </c>
      <c r="L64" s="32" t="str">
        <f aca="false">IF(K64=0,"",IF(LEN(TRIM(Scheda_1!$D$46&amp;""))=0,"MANCANTE",IF(LEFT(LOWER(TRIM(Scheda_1!$D$46&amp;"")),7)="non not","NON NOTO","ok")))</f>
        <v>ok</v>
      </c>
    </row>
    <row r="65" customFormat="false" ht="15" hidden="false" customHeight="false" outlineLevel="0" collapsed="false">
      <c r="A65" s="16" t="s">
        <v>170</v>
      </c>
      <c r="B65" s="31" t="s">
        <v>171</v>
      </c>
      <c r="C65" s="16" t="s">
        <v>166</v>
      </c>
      <c r="D65" s="32" t="s">
        <v>795</v>
      </c>
      <c r="E65" s="32" t="s">
        <v>795</v>
      </c>
      <c r="F65" s="32"/>
      <c r="G65" s="32" t="s">
        <v>795</v>
      </c>
      <c r="H65" s="32" t="n">
        <v>1</v>
      </c>
      <c r="I65" s="32" t="n">
        <v>1</v>
      </c>
      <c r="J65" s="32" t="str">
        <f aca="false">IF($B$5="","",IF($B$5="ORD",D65,IF($B$5="CON",E65,IF($B$5="AGI",F65,G65))))</f>
        <v>X</v>
      </c>
      <c r="K65" s="32" t="n">
        <f aca="false">IF(OR(H65=0,I65=0,J65=""),0,IF(IF(J65="X",1,IF(J65="P",$B$6,IF(J65="C",$B$7,IF(J65="DR",$B$8,IF(J65="T",$B$9,0)))))=1,1,0))</f>
        <v>1</v>
      </c>
      <c r="L65" s="32" t="str">
        <f aca="false">IF(K65=0,"",IF(LEN(TRIM(Scheda_1!$D$47&amp;""))=0,"MANCANTE",IF(LEFT(LOWER(TRIM(Scheda_1!$D$47&amp;"")),7)="non not","NON NOTO","ok")))</f>
        <v>ok</v>
      </c>
    </row>
    <row r="66" customFormat="false" ht="15" hidden="false" customHeight="false" outlineLevel="0" collapsed="false">
      <c r="A66" s="16" t="s">
        <v>173</v>
      </c>
      <c r="B66" s="31" t="s">
        <v>174</v>
      </c>
      <c r="C66" s="16" t="s">
        <v>166</v>
      </c>
      <c r="D66" s="32" t="s">
        <v>795</v>
      </c>
      <c r="E66" s="32" t="s">
        <v>795</v>
      </c>
      <c r="F66" s="32"/>
      <c r="G66" s="32" t="s">
        <v>795</v>
      </c>
      <c r="H66" s="32" t="n">
        <v>1</v>
      </c>
      <c r="I66" s="32" t="n">
        <f aca="false">IF(OR(AND(Scheda_1!$D$46&lt;&gt;"",Scheda_1!$D$46&lt;&gt;"Nessuno",Scheda_1!$D$46&lt;&gt;"Non noto"),AND(Scheda_1!$D$47&lt;&gt;"",Scheda_1!$D$47&lt;&gt;"Nessuno",Scheda_1!$D$47&lt;&gt;"Non noto")),1,0)</f>
        <v>0</v>
      </c>
      <c r="J66" s="32" t="str">
        <f aca="false">IF($B$5="","",IF($B$5="ORD",D66,IF($B$5="CON",E66,IF($B$5="AGI",F66,G66))))</f>
        <v>X</v>
      </c>
      <c r="K66" s="32" t="n">
        <f aca="false">IF(OR(H66=0,I66=0,J66=""),0,IF(IF(J66="X",1,IF(J66="P",$B$6,IF(J66="C",$B$7,IF(J66="DR",$B$8,IF(J66="T",$B$9,0)))))=1,1,0))</f>
        <v>0</v>
      </c>
      <c r="L66" s="32" t="str">
        <f aca="false">IF(K66=0,"",IF(LEN(TRIM(Scheda_1!$D$48&amp;""))=0,"MANCANTE",IF(LEFT(LOWER(TRIM(Scheda_1!$D$48&amp;"")),7)="non not","NON NOTO","ok")))</f>
        <v/>
      </c>
    </row>
    <row r="67" customFormat="false" ht="15" hidden="false" customHeight="false" outlineLevel="0" collapsed="false">
      <c r="A67" s="16" t="s">
        <v>177</v>
      </c>
      <c r="B67" s="31" t="s">
        <v>178</v>
      </c>
      <c r="C67" s="16" t="s">
        <v>166</v>
      </c>
      <c r="D67" s="32" t="s">
        <v>796</v>
      </c>
      <c r="E67" s="32"/>
      <c r="F67" s="32"/>
      <c r="G67" s="32" t="s">
        <v>796</v>
      </c>
      <c r="H67" s="32" t="n">
        <v>1</v>
      </c>
      <c r="I67" s="32" t="n">
        <v>1</v>
      </c>
      <c r="J67" s="32" t="str">
        <f aca="false">IF($B$5="","",IF($B$5="ORD",D67,IF($B$5="CON",E67,IF($B$5="AGI",F67,G67))))</f>
        <v>P</v>
      </c>
      <c r="K67" s="32" t="n">
        <f aca="false">IF(OR(H67=0,I67=0,J67=""),0,IF(IF(J67="X",1,IF(J67="P",$B$6,IF(J67="C",$B$7,IF(J67="DR",$B$8,IF(J67="T",$B$9,0)))))=1,1,0))</f>
        <v>0</v>
      </c>
      <c r="L67" s="32" t="str">
        <f aca="false">IF(K67=0,"",IF(LEN(TRIM(Scheda_1!$D$49&amp;""))=0,"MANCANTE",IF(LEFT(LOWER(TRIM(Scheda_1!$D$49&amp;"")),7)="non not","NON NOTO","ok")))</f>
        <v/>
      </c>
    </row>
    <row r="68" customFormat="false" ht="15" hidden="false" customHeight="false" outlineLevel="0" collapsed="false">
      <c r="A68" s="16" t="s">
        <v>181</v>
      </c>
      <c r="B68" s="31" t="s">
        <v>182</v>
      </c>
      <c r="C68" s="16" t="s">
        <v>166</v>
      </c>
      <c r="D68" s="32" t="s">
        <v>796</v>
      </c>
      <c r="E68" s="32"/>
      <c r="F68" s="32"/>
      <c r="G68" s="32" t="s">
        <v>796</v>
      </c>
      <c r="H68" s="32" t="n">
        <v>1</v>
      </c>
      <c r="I68" s="32" t="n">
        <v>1</v>
      </c>
      <c r="J68" s="32" t="str">
        <f aca="false">IF($B$5="","",IF($B$5="ORD",D68,IF($B$5="CON",E68,IF($B$5="AGI",F68,G68))))</f>
        <v>P</v>
      </c>
      <c r="K68" s="32" t="n">
        <f aca="false">IF(OR(H68=0,I68=0,J68=""),0,IF(IF(J68="X",1,IF(J68="P",$B$6,IF(J68="C",$B$7,IF(J68="DR",$B$8,IF(J68="T",$B$9,0)))))=1,1,0))</f>
        <v>0</v>
      </c>
      <c r="L68" s="32" t="str">
        <f aca="false">IF(K68=0,"",IF(LEN(TRIM(Scheda_1!$D$50&amp;""))=0,"MANCANTE",IF(LEFT(LOWER(TRIM(Scheda_1!$D$50&amp;"")),7)="non not","NON NOTO","ok")))</f>
        <v/>
      </c>
    </row>
    <row r="69" customFormat="false" ht="15" hidden="false" customHeight="false" outlineLevel="0" collapsed="false">
      <c r="A69" s="16" t="s">
        <v>183</v>
      </c>
      <c r="B69" s="31" t="s">
        <v>184</v>
      </c>
      <c r="C69" s="16" t="s">
        <v>166</v>
      </c>
      <c r="D69" s="32" t="s">
        <v>796</v>
      </c>
      <c r="E69" s="32"/>
      <c r="F69" s="32"/>
      <c r="G69" s="32" t="s">
        <v>796</v>
      </c>
      <c r="H69" s="32" t="n">
        <v>1</v>
      </c>
      <c r="I69" s="32" t="n">
        <v>1</v>
      </c>
      <c r="J69" s="32" t="str">
        <f aca="false">IF($B$5="","",IF($B$5="ORD",D69,IF($B$5="CON",E69,IF($B$5="AGI",F69,G69))))</f>
        <v>P</v>
      </c>
      <c r="K69" s="32" t="n">
        <f aca="false">IF(OR(H69=0,I69=0,J69=""),0,IF(IF(J69="X",1,IF(J69="P",$B$6,IF(J69="C",$B$7,IF(J69="DR",$B$8,IF(J69="T",$B$9,0)))))=1,1,0))</f>
        <v>0</v>
      </c>
      <c r="L69" s="32" t="str">
        <f aca="false">IF(K69=0,"",IF(LEN(TRIM(Scheda_1!$D$51&amp;""))=0,"MANCANTE",IF(LEFT(LOWER(TRIM(Scheda_1!$D$51&amp;"")),7)="non not","NON NOTO","ok")))</f>
        <v/>
      </c>
    </row>
    <row r="70" customFormat="false" ht="15" hidden="false" customHeight="false" outlineLevel="0" collapsed="false">
      <c r="A70" s="16" t="s">
        <v>186</v>
      </c>
      <c r="B70" s="31" t="s">
        <v>187</v>
      </c>
      <c r="C70" s="16" t="s">
        <v>166</v>
      </c>
      <c r="D70" s="32" t="s">
        <v>795</v>
      </c>
      <c r="E70" s="32"/>
      <c r="F70" s="32"/>
      <c r="G70" s="32" t="s">
        <v>795</v>
      </c>
      <c r="H70" s="32" t="n">
        <v>1</v>
      </c>
      <c r="I70" s="32" t="n">
        <v>1</v>
      </c>
      <c r="J70" s="32" t="str">
        <f aca="false">IF($B$5="","",IF($B$5="ORD",D70,IF($B$5="CON",E70,IF($B$5="AGI",F70,G70))))</f>
        <v>X</v>
      </c>
      <c r="K70" s="32" t="n">
        <f aca="false">IF(OR(H70=0,I70=0,J70=""),0,IF(IF(J70="X",1,IF(J70="P",$B$6,IF(J70="C",$B$7,IF(J70="DR",$B$8,IF(J70="T",$B$9,0)))))=1,1,0))</f>
        <v>1</v>
      </c>
      <c r="L70" s="32" t="str">
        <f aca="false">IF(K70=0,"",IF(LEN(TRIM(Scheda_1!$D$52&amp;""))=0,"MANCANTE",IF(LEFT(LOWER(TRIM(Scheda_1!$D$52&amp;"")),7)="non not","NON NOTO","ok")))</f>
        <v>ok</v>
      </c>
    </row>
    <row r="71" customFormat="false" ht="15" hidden="false" customHeight="false" outlineLevel="0" collapsed="false">
      <c r="A71" s="16" t="s">
        <v>189</v>
      </c>
      <c r="B71" s="31" t="s">
        <v>190</v>
      </c>
      <c r="C71" s="16" t="s">
        <v>166</v>
      </c>
      <c r="D71" s="32" t="s">
        <v>795</v>
      </c>
      <c r="E71" s="32"/>
      <c r="F71" s="32"/>
      <c r="G71" s="32" t="s">
        <v>795</v>
      </c>
      <c r="H71" s="32" t="n">
        <v>1</v>
      </c>
      <c r="I71" s="32" t="n">
        <f aca="false">IF(Scheda_1!$D$52="Sì",1,0)</f>
        <v>0</v>
      </c>
      <c r="J71" s="32" t="str">
        <f aca="false">IF($B$5="","",IF($B$5="ORD",D71,IF($B$5="CON",E71,IF($B$5="AGI",F71,G71))))</f>
        <v>X</v>
      </c>
      <c r="K71" s="32" t="n">
        <f aca="false">IF(OR(H71=0,I71=0,J71=""),0,IF(IF(J71="X",1,IF(J71="P",$B$6,IF(J71="C",$B$7,IF(J71="DR",$B$8,IF(J71="T",$B$9,0)))))=1,1,0))</f>
        <v>0</v>
      </c>
      <c r="L71" s="32" t="str">
        <f aca="false">IF(K71=0,"",IF(LEN(TRIM(Scheda_1!$D$53&amp;""))=0,"MANCANTE",IF(LEFT(LOWER(TRIM(Scheda_1!$D$53&amp;"")),7)="non not","NON NOTO","ok")))</f>
        <v/>
      </c>
    </row>
    <row r="72" customFormat="false" ht="15" hidden="false" customHeight="false" outlineLevel="0" collapsed="false">
      <c r="A72" s="16" t="s">
        <v>194</v>
      </c>
      <c r="B72" s="31" t="s">
        <v>196</v>
      </c>
      <c r="C72" s="16" t="s">
        <v>195</v>
      </c>
      <c r="D72" s="32" t="s">
        <v>795</v>
      </c>
      <c r="E72" s="32"/>
      <c r="F72" s="32" t="s">
        <v>795</v>
      </c>
      <c r="G72" s="32" t="s">
        <v>795</v>
      </c>
      <c r="H72" s="32" t="n">
        <v>1</v>
      </c>
      <c r="I72" s="32" t="n">
        <v>1</v>
      </c>
      <c r="J72" s="32" t="str">
        <f aca="false">IF($B$5="","",IF($B$5="ORD",D72,IF($B$5="CON",E72,IF($B$5="AGI",F72,G72))))</f>
        <v>X</v>
      </c>
      <c r="K72" s="32" t="n">
        <f aca="false">IF(OR(H72=0,I72=0,J72=""),0,IF(IF(J72="X",1,IF(J72="P",$B$6,IF(J72="C",$B$7,IF(J72="DR",$B$8,IF(J72="T",$B$9,0)))))=1,1,0))</f>
        <v>1</v>
      </c>
      <c r="L72" s="32" t="str">
        <f aca="false">IF(K72=0,"",IF(LEN(TRIM(Scheda_1!$D$55&amp;""))=0,"MANCANTE",IF(LEFT(LOWER(TRIM(Scheda_1!$D$55&amp;"")),7)="non not","NON NOTO","ok")))</f>
        <v>ok</v>
      </c>
    </row>
    <row r="73" customFormat="false" ht="15" hidden="false" customHeight="false" outlineLevel="0" collapsed="false">
      <c r="A73" s="16" t="s">
        <v>200</v>
      </c>
      <c r="B73" s="31" t="s">
        <v>201</v>
      </c>
      <c r="C73" s="16" t="s">
        <v>195</v>
      </c>
      <c r="D73" s="32" t="s">
        <v>795</v>
      </c>
      <c r="E73" s="32"/>
      <c r="F73" s="32" t="s">
        <v>795</v>
      </c>
      <c r="G73" s="32" t="s">
        <v>795</v>
      </c>
      <c r="H73" s="32" t="n">
        <v>1</v>
      </c>
      <c r="I73" s="32" t="n">
        <f aca="false">IF(AND(Scheda_1!$D$55&lt;&gt;"",Scheda_1!$D$55&lt;&gt;"Non noto",LEFT(Scheda_1!$D$55,6)&lt;&gt;"Nessun"),1,0)</f>
        <v>1</v>
      </c>
      <c r="J73" s="32" t="str">
        <f aca="false">IF($B$5="","",IF($B$5="ORD",D73,IF($B$5="CON",E73,IF($B$5="AGI",F73,G73))))</f>
        <v>X</v>
      </c>
      <c r="K73" s="32" t="n">
        <f aca="false">IF(OR(H73=0,I73=0,J73=""),0,IF(IF(J73="X",1,IF(J73="P",$B$6,IF(J73="C",$B$7,IF(J73="DR",$B$8,IF(J73="T",$B$9,0)))))=1,1,0))</f>
        <v>1</v>
      </c>
      <c r="L73" s="32" t="str">
        <f aca="false">IF(K73=0,"",IF(LEN(TRIM(Scheda_1!$D$56&amp;""))=0,"MANCANTE",IF(LEFT(LOWER(TRIM(Scheda_1!$D$56&amp;"")),7)="non not","NON NOTO","ok")))</f>
        <v>ok</v>
      </c>
    </row>
    <row r="74" customFormat="false" ht="15" hidden="false" customHeight="false" outlineLevel="0" collapsed="false">
      <c r="A74" s="16" t="s">
        <v>204</v>
      </c>
      <c r="B74" s="31" t="s">
        <v>205</v>
      </c>
      <c r="C74" s="16" t="s">
        <v>195</v>
      </c>
      <c r="D74" s="32" t="s">
        <v>795</v>
      </c>
      <c r="E74" s="32" t="s">
        <v>795</v>
      </c>
      <c r="F74" s="32"/>
      <c r="G74" s="32" t="s">
        <v>795</v>
      </c>
      <c r="H74" s="32" t="n">
        <v>1</v>
      </c>
      <c r="I74" s="32" t="n">
        <v>1</v>
      </c>
      <c r="J74" s="32" t="str">
        <f aca="false">IF($B$5="","",IF($B$5="ORD",D74,IF($B$5="CON",E74,IF($B$5="AGI",F74,G74))))</f>
        <v>X</v>
      </c>
      <c r="K74" s="32" t="n">
        <f aca="false">IF(OR(H74=0,I74=0,J74=""),0,IF(IF(J74="X",1,IF(J74="P",$B$6,IF(J74="C",$B$7,IF(J74="DR",$B$8,IF(J74="T",$B$9,0)))))=1,1,0))</f>
        <v>1</v>
      </c>
      <c r="L74" s="32" t="str">
        <f aca="false">IF(K74=0,"",IF(LEN(TRIM(Scheda_1!$D$57&amp;""))=0,"MANCANTE",IF(LEFT(LOWER(TRIM(Scheda_1!$D$57&amp;"")),7)="non not","NON NOTO","ok")))</f>
        <v>ok</v>
      </c>
    </row>
    <row r="75" customFormat="false" ht="15" hidden="false" customHeight="false" outlineLevel="0" collapsed="false">
      <c r="A75" s="16" t="s">
        <v>208</v>
      </c>
      <c r="B75" s="31" t="s">
        <v>209</v>
      </c>
      <c r="C75" s="16" t="s">
        <v>195</v>
      </c>
      <c r="D75" s="32" t="s">
        <v>795</v>
      </c>
      <c r="E75" s="32"/>
      <c r="F75" s="32" t="s">
        <v>795</v>
      </c>
      <c r="G75" s="32" t="s">
        <v>795</v>
      </c>
      <c r="H75" s="32" t="n">
        <v>1</v>
      </c>
      <c r="I75" s="32" t="n">
        <v>1</v>
      </c>
      <c r="J75" s="32" t="str">
        <f aca="false">IF($B$5="","",IF($B$5="ORD",D75,IF($B$5="CON",E75,IF($B$5="AGI",F75,G75))))</f>
        <v>X</v>
      </c>
      <c r="K75" s="32" t="n">
        <f aca="false">IF(OR(H75=0,I75=0,J75=""),0,IF(IF(J75="X",1,IF(J75="P",$B$6,IF(J75="C",$B$7,IF(J75="DR",$B$8,IF(J75="T",$B$9,0)))))=1,1,0))</f>
        <v>1</v>
      </c>
      <c r="L75" s="32" t="str">
        <f aca="false">IF(K75=0,"",IF(LEN(TRIM(Scheda_1!$D$58&amp;""))=0,"MANCANTE",IF(LEFT(LOWER(TRIM(Scheda_1!$D$58&amp;"")),7)="non not","NON NOTO","ok")))</f>
        <v>ok</v>
      </c>
    </row>
    <row r="76" customFormat="false" ht="15" hidden="false" customHeight="false" outlineLevel="0" collapsed="false">
      <c r="A76" s="16" t="s">
        <v>211</v>
      </c>
      <c r="B76" s="31" t="s">
        <v>212</v>
      </c>
      <c r="C76" s="16" t="s">
        <v>195</v>
      </c>
      <c r="D76" s="32" t="s">
        <v>795</v>
      </c>
      <c r="E76" s="32"/>
      <c r="F76" s="32"/>
      <c r="G76" s="32" t="s">
        <v>795</v>
      </c>
      <c r="H76" s="32" t="n">
        <v>1</v>
      </c>
      <c r="I76" s="32" t="n">
        <v>1</v>
      </c>
      <c r="J76" s="32" t="str">
        <f aca="false">IF($B$5="","",IF($B$5="ORD",D76,IF($B$5="CON",E76,IF($B$5="AGI",F76,G76))))</f>
        <v>X</v>
      </c>
      <c r="K76" s="32" t="n">
        <f aca="false">IF(OR(H76=0,I76=0,J76=""),0,IF(IF(J76="X",1,IF(J76="P",$B$6,IF(J76="C",$B$7,IF(J76="DR",$B$8,IF(J76="T",$B$9,0)))))=1,1,0))</f>
        <v>1</v>
      </c>
      <c r="L76" s="32" t="str">
        <f aca="false">IF(K76=0,"",IF(LEN(TRIM(Scheda_1!$D$59&amp;""))=0,"MANCANTE",IF(LEFT(LOWER(TRIM(Scheda_1!$D$59&amp;"")),7)="non not","NON NOTO","ok")))</f>
        <v>ok</v>
      </c>
    </row>
    <row r="77" customFormat="false" ht="15" hidden="false" customHeight="false" outlineLevel="0" collapsed="false">
      <c r="A77" s="16" t="s">
        <v>215</v>
      </c>
      <c r="B77" s="31" t="s">
        <v>216</v>
      </c>
      <c r="C77" s="16" t="s">
        <v>195</v>
      </c>
      <c r="D77" s="32" t="s">
        <v>795</v>
      </c>
      <c r="E77" s="32" t="s">
        <v>795</v>
      </c>
      <c r="F77" s="32" t="s">
        <v>795</v>
      </c>
      <c r="G77" s="32" t="s">
        <v>795</v>
      </c>
      <c r="H77" s="32" t="n">
        <v>1</v>
      </c>
      <c r="I77" s="32" t="n">
        <v>1</v>
      </c>
      <c r="J77" s="32" t="str">
        <f aca="false">IF($B$5="","",IF($B$5="ORD",D77,IF($B$5="CON",E77,IF($B$5="AGI",F77,G77))))</f>
        <v>X</v>
      </c>
      <c r="K77" s="32" t="n">
        <f aca="false">IF(OR(H77=0,I77=0,J77=""),0,IF(IF(J77="X",1,IF(J77="P",$B$6,IF(J77="C",$B$7,IF(J77="DR",$B$8,IF(J77="T",$B$9,0)))))=1,1,0))</f>
        <v>1</v>
      </c>
      <c r="L77" s="32" t="str">
        <f aca="false">IF(K77=0,"",IF(LEN(TRIM(Scheda_1!$D$60&amp;""))=0,"MANCANTE",IF(LEFT(LOWER(TRIM(Scheda_1!$D$60&amp;"")),7)="non not","NON NOTO","ok")))</f>
        <v>ok</v>
      </c>
    </row>
    <row r="78" customFormat="false" ht="15" hidden="false" customHeight="false" outlineLevel="0" collapsed="false">
      <c r="A78" s="16" t="s">
        <v>218</v>
      </c>
      <c r="B78" s="31" t="s">
        <v>219</v>
      </c>
      <c r="C78" s="16" t="s">
        <v>195</v>
      </c>
      <c r="D78" s="32" t="s">
        <v>795</v>
      </c>
      <c r="E78" s="32" t="s">
        <v>795</v>
      </c>
      <c r="F78" s="32" t="s">
        <v>795</v>
      </c>
      <c r="G78" s="32" t="s">
        <v>795</v>
      </c>
      <c r="H78" s="32" t="n">
        <v>1</v>
      </c>
      <c r="I78" s="32" t="n">
        <f aca="false">IF(Scheda_1!$D$60="Sì",1,0)</f>
        <v>0</v>
      </c>
      <c r="J78" s="32" t="str">
        <f aca="false">IF($B$5="","",IF($B$5="ORD",D78,IF($B$5="CON",E78,IF($B$5="AGI",F78,G78))))</f>
        <v>X</v>
      </c>
      <c r="K78" s="32" t="n">
        <f aca="false">IF(OR(H78=0,I78=0,J78=""),0,IF(IF(J78="X",1,IF(J78="P",$B$6,IF(J78="C",$B$7,IF(J78="DR",$B$8,IF(J78="T",$B$9,0)))))=1,1,0))</f>
        <v>0</v>
      </c>
      <c r="L78" s="32" t="str">
        <f aca="false">IF(K78=0,"",IF(LEN(TRIM(Scheda_1!$D$61&amp;""))=0,"MANCANTE",IF(LEFT(LOWER(TRIM(Scheda_1!$D$61&amp;"")),7)="non not","NON NOTO","ok")))</f>
        <v/>
      </c>
    </row>
    <row r="79" customFormat="false" ht="15" hidden="false" customHeight="false" outlineLevel="0" collapsed="false">
      <c r="A79" s="16" t="s">
        <v>222</v>
      </c>
      <c r="B79" s="31" t="s">
        <v>223</v>
      </c>
      <c r="C79" s="16" t="s">
        <v>195</v>
      </c>
      <c r="D79" s="32"/>
      <c r="E79" s="32" t="s">
        <v>795</v>
      </c>
      <c r="F79" s="32"/>
      <c r="G79" s="32" t="s">
        <v>795</v>
      </c>
      <c r="H79" s="32" t="n">
        <v>1</v>
      </c>
      <c r="I79" s="32" t="n">
        <v>1</v>
      </c>
      <c r="J79" s="32" t="n">
        <f aca="false">IF($B$5="","",IF($B$5="ORD",D79,IF($B$5="CON",E79,IF($B$5="AGI",F79,G79))))</f>
        <v>0</v>
      </c>
      <c r="K79" s="32" t="n">
        <f aca="false">IF(OR(H79=0,I79=0,J79=""),0,IF(IF(J79="X",1,IF(J79="P",$B$6,IF(J79="C",$B$7,IF(J79="DR",$B$8,IF(J79="T",$B$9,0)))))=1,1,0))</f>
        <v>0</v>
      </c>
      <c r="L79" s="32" t="str">
        <f aca="false">IF(K79=0,"",IF(LEN(TRIM(Scheda_1!$D$62&amp;""))=0,"MANCANTE",IF(LEFT(LOWER(TRIM(Scheda_1!$D$62&amp;"")),7)="non not","NON NOTO","ok")))</f>
        <v/>
      </c>
    </row>
    <row r="80" customFormat="false" ht="15" hidden="false" customHeight="false" outlineLevel="0" collapsed="false">
      <c r="A80" s="16" t="s">
        <v>225</v>
      </c>
      <c r="B80" s="31" t="s">
        <v>226</v>
      </c>
      <c r="C80" s="16" t="s">
        <v>195</v>
      </c>
      <c r="D80" s="32"/>
      <c r="E80" s="32" t="s">
        <v>795</v>
      </c>
      <c r="F80" s="32" t="s">
        <v>795</v>
      </c>
      <c r="G80" s="32" t="s">
        <v>795</v>
      </c>
      <c r="H80" s="32" t="n">
        <v>1</v>
      </c>
      <c r="I80" s="32" t="n">
        <v>1</v>
      </c>
      <c r="J80" s="32" t="n">
        <f aca="false">IF($B$5="","",IF($B$5="ORD",D80,IF($B$5="CON",E80,IF($B$5="AGI",F80,G80))))</f>
        <v>0</v>
      </c>
      <c r="K80" s="32" t="n">
        <f aca="false">IF(OR(H80=0,I80=0,J80=""),0,IF(IF(J80="X",1,IF(J80="P",$B$6,IF(J80="C",$B$7,IF(J80="DR",$B$8,IF(J80="T",$B$9,0)))))=1,1,0))</f>
        <v>0</v>
      </c>
      <c r="L80" s="32" t="str">
        <f aca="false">IF(K80=0,"",IF(LEN(TRIM(Scheda_1!$D$63&amp;""))=0,"MANCANTE",IF(LEFT(LOWER(TRIM(Scheda_1!$D$63&amp;"")),7)="non not","NON NOTO","ok")))</f>
        <v/>
      </c>
    </row>
    <row r="81" customFormat="false" ht="15" hidden="false" customHeight="false" outlineLevel="0" collapsed="false">
      <c r="A81" s="16" t="s">
        <v>229</v>
      </c>
      <c r="B81" s="31" t="s">
        <v>230</v>
      </c>
      <c r="C81" s="16" t="s">
        <v>195</v>
      </c>
      <c r="D81" s="32"/>
      <c r="E81" s="32" t="s">
        <v>795</v>
      </c>
      <c r="F81" s="32"/>
      <c r="G81" s="32" t="s">
        <v>795</v>
      </c>
      <c r="H81" s="32" t="n">
        <v>1</v>
      </c>
      <c r="I81" s="32" t="n">
        <v>1</v>
      </c>
      <c r="J81" s="32" t="n">
        <f aca="false">IF($B$5="","",IF($B$5="ORD",D81,IF($B$5="CON",E81,IF($B$5="AGI",F81,G81))))</f>
        <v>0</v>
      </c>
      <c r="K81" s="32" t="n">
        <f aca="false">IF(OR(H81=0,I81=0,J81=""),0,IF(IF(J81="X",1,IF(J81="P",$B$6,IF(J81="C",$B$7,IF(J81="DR",$B$8,IF(J81="T",$B$9,0)))))=1,1,0))</f>
        <v>0</v>
      </c>
      <c r="L81" s="32" t="str">
        <f aca="false">IF(K81=0,"",IF(LEN(TRIM(Scheda_1!$D$64&amp;""))=0,"MANCANTE",IF(LEFT(LOWER(TRIM(Scheda_1!$D$64&amp;"")),7)="non not","NON NOTO","ok")))</f>
        <v/>
      </c>
    </row>
    <row r="82" customFormat="false" ht="15" hidden="false" customHeight="false" outlineLevel="0" collapsed="false">
      <c r="A82" s="16" t="s">
        <v>232</v>
      </c>
      <c r="B82" s="31" t="s">
        <v>233</v>
      </c>
      <c r="C82" s="16" t="s">
        <v>195</v>
      </c>
      <c r="D82" s="32"/>
      <c r="E82" s="32"/>
      <c r="F82" s="32"/>
      <c r="G82" s="32" t="s">
        <v>795</v>
      </c>
      <c r="H82" s="32" t="n">
        <v>1</v>
      </c>
      <c r="I82" s="32" t="n">
        <f aca="false">IF(Scheda_1!$D$60="Sì",1,0)</f>
        <v>0</v>
      </c>
      <c r="J82" s="32" t="n">
        <f aca="false">IF($B$5="","",IF($B$5="ORD",D82,IF($B$5="CON",E82,IF($B$5="AGI",F82,G82))))</f>
        <v>0</v>
      </c>
      <c r="K82" s="32" t="n">
        <f aca="false">IF(OR(H82=0,I82=0,J82=""),0,IF(IF(J82="X",1,IF(J82="P",$B$6,IF(J82="C",$B$7,IF(J82="DR",$B$8,IF(J82="T",$B$9,0)))))=1,1,0))</f>
        <v>0</v>
      </c>
      <c r="L82" s="32" t="str">
        <f aca="false">IF(K82=0,"",IF(LEN(TRIM(Scheda_1!$D$65&amp;""))=0,"MANCANTE",IF(LEFT(LOWER(TRIM(Scheda_1!$D$65&amp;"")),7)="non not","NON NOTO","ok")))</f>
        <v/>
      </c>
    </row>
    <row r="83" customFormat="false" ht="15" hidden="false" customHeight="false" outlineLevel="0" collapsed="false">
      <c r="A83" s="16" t="s">
        <v>237</v>
      </c>
      <c r="B83" s="31" t="s">
        <v>238</v>
      </c>
      <c r="C83" s="16" t="s">
        <v>195</v>
      </c>
      <c r="D83" s="32"/>
      <c r="E83" s="32"/>
      <c r="F83" s="32"/>
      <c r="G83" s="32" t="s">
        <v>795</v>
      </c>
      <c r="H83" s="32" t="n">
        <v>1</v>
      </c>
      <c r="I83" s="32" t="n">
        <f aca="false">IF(Scheda_1!$D$60="Sì",1,0)</f>
        <v>0</v>
      </c>
      <c r="J83" s="32" t="n">
        <f aca="false">IF($B$5="","",IF($B$5="ORD",D83,IF($B$5="CON",E83,IF($B$5="AGI",F83,G83))))</f>
        <v>0</v>
      </c>
      <c r="K83" s="32" t="n">
        <f aca="false">IF(OR(H83=0,I83=0,J83=""),0,IF(IF(J83="X",1,IF(J83="P",$B$6,IF(J83="C",$B$7,IF(J83="DR",$B$8,IF(J83="T",$B$9,0)))))=1,1,0))</f>
        <v>0</v>
      </c>
      <c r="L83" s="32" t="str">
        <f aca="false">IF(K83=0,"",IF(LEN(TRIM(Scheda_1!$D$66&amp;""))=0,"MANCANTE",IF(LEFT(LOWER(TRIM(Scheda_1!$D$66&amp;"")),7)="non not","NON NOTO","ok")))</f>
        <v/>
      </c>
    </row>
    <row r="84" customFormat="false" ht="15" hidden="false" customHeight="false" outlineLevel="0" collapsed="false">
      <c r="A84" s="16" t="s">
        <v>241</v>
      </c>
      <c r="B84" s="31" t="s">
        <v>242</v>
      </c>
      <c r="C84" s="16" t="s">
        <v>195</v>
      </c>
      <c r="D84" s="32"/>
      <c r="E84" s="32"/>
      <c r="F84" s="32"/>
      <c r="G84" s="32" t="s">
        <v>795</v>
      </c>
      <c r="H84" s="32" t="n">
        <v>1</v>
      </c>
      <c r="I84" s="32" t="n">
        <f aca="false">IF(Scheda_1!$D$60="Sì",1,0)</f>
        <v>0</v>
      </c>
      <c r="J84" s="32" t="n">
        <f aca="false">IF($B$5="","",IF($B$5="ORD",D84,IF($B$5="CON",E84,IF($B$5="AGI",F84,G84))))</f>
        <v>0</v>
      </c>
      <c r="K84" s="32" t="n">
        <f aca="false">IF(OR(H84=0,I84=0,J84=""),0,IF(IF(J84="X",1,IF(J84="P",$B$6,IF(J84="C",$B$7,IF(J84="DR",$B$8,IF(J84="T",$B$9,0)))))=1,1,0))</f>
        <v>0</v>
      </c>
      <c r="L84" s="32" t="str">
        <f aca="false">IF(K84=0,"",IF(LEN(TRIM(Scheda_1!$D$67&amp;""))=0,"MANCANTE",IF(LEFT(LOWER(TRIM(Scheda_1!$D$67&amp;"")),7)="non not","NON NOTO","ok")))</f>
        <v/>
      </c>
    </row>
    <row r="85" customFormat="false" ht="15" hidden="false" customHeight="false" outlineLevel="0" collapsed="false">
      <c r="A85" s="16" t="s">
        <v>243</v>
      </c>
      <c r="B85" s="31" t="s">
        <v>244</v>
      </c>
      <c r="C85" s="16" t="s">
        <v>195</v>
      </c>
      <c r="D85" s="32"/>
      <c r="E85" s="32"/>
      <c r="F85" s="32"/>
      <c r="G85" s="32" t="s">
        <v>795</v>
      </c>
      <c r="H85" s="32" t="n">
        <v>1</v>
      </c>
      <c r="I85" s="32" t="n">
        <f aca="false">IF(Scheda_1!$D$60="Sì",1,0)</f>
        <v>0</v>
      </c>
      <c r="J85" s="32" t="n">
        <f aca="false">IF($B$5="","",IF($B$5="ORD",D85,IF($B$5="CON",E85,IF($B$5="AGI",F85,G85))))</f>
        <v>0</v>
      </c>
      <c r="K85" s="32" t="n">
        <f aca="false">IF(OR(H85=0,I85=0,J85=""),0,IF(IF(J85="X",1,IF(J85="P",$B$6,IF(J85="C",$B$7,IF(J85="DR",$B$8,IF(J85="T",$B$9,0)))))=1,1,0))</f>
        <v>0</v>
      </c>
      <c r="L85" s="32" t="str">
        <f aca="false">IF(K85=0,"",IF(LEN(TRIM(Scheda_1!$D$68&amp;""))=0,"MANCANTE",IF(LEFT(LOWER(TRIM(Scheda_1!$D$68&amp;"")),7)="non not","NON NOTO","ok")))</f>
        <v/>
      </c>
    </row>
    <row r="86" customFormat="false" ht="15" hidden="false" customHeight="false" outlineLevel="0" collapsed="false">
      <c r="A86" s="16" t="s">
        <v>246</v>
      </c>
      <c r="B86" s="31" t="s">
        <v>247</v>
      </c>
      <c r="C86" s="16" t="s">
        <v>195</v>
      </c>
      <c r="D86" s="32"/>
      <c r="E86" s="32"/>
      <c r="F86" s="32"/>
      <c r="G86" s="32" t="s">
        <v>795</v>
      </c>
      <c r="H86" s="32" t="n">
        <v>1</v>
      </c>
      <c r="I86" s="32" t="n">
        <f aca="false">IF(Scheda_1!$D$60="Sì",1,0)</f>
        <v>0</v>
      </c>
      <c r="J86" s="32" t="n">
        <f aca="false">IF($B$5="","",IF($B$5="ORD",D86,IF($B$5="CON",E86,IF($B$5="AGI",F86,G86))))</f>
        <v>0</v>
      </c>
      <c r="K86" s="32" t="n">
        <f aca="false">IF(OR(H86=0,I86=0,J86=""),0,IF(IF(J86="X",1,IF(J86="P",$B$6,IF(J86="C",$B$7,IF(J86="DR",$B$8,IF(J86="T",$B$9,0)))))=1,1,0))</f>
        <v>0</v>
      </c>
      <c r="L86" s="32" t="str">
        <f aca="false">IF(K86=0,"",IF(LEN(TRIM(Scheda_1!$D$69&amp;""))=0,"MANCANTE",IF(LEFT(LOWER(TRIM(Scheda_1!$D$69&amp;"")),7)="non not","NON NOTO","ok")))</f>
        <v/>
      </c>
    </row>
    <row r="87" customFormat="false" ht="15" hidden="false" customHeight="false" outlineLevel="0" collapsed="false">
      <c r="A87" s="16" t="s">
        <v>248</v>
      </c>
      <c r="B87" s="31" t="s">
        <v>249</v>
      </c>
      <c r="C87" s="16" t="s">
        <v>195</v>
      </c>
      <c r="D87" s="32"/>
      <c r="E87" s="32"/>
      <c r="F87" s="32"/>
      <c r="G87" s="32" t="s">
        <v>795</v>
      </c>
      <c r="H87" s="32" t="n">
        <v>1</v>
      </c>
      <c r="I87" s="32" t="n">
        <f aca="false">IF(Scheda_1!$D$60="Sì",1,0)</f>
        <v>0</v>
      </c>
      <c r="J87" s="32" t="n">
        <f aca="false">IF($B$5="","",IF($B$5="ORD",D87,IF($B$5="CON",E87,IF($B$5="AGI",F87,G87))))</f>
        <v>0</v>
      </c>
      <c r="K87" s="32" t="n">
        <f aca="false">IF(OR(H87=0,I87=0,J87=""),0,IF(IF(J87="X",1,IF(J87="P",$B$6,IF(J87="C",$B$7,IF(J87="DR",$B$8,IF(J87="T",$B$9,0)))))=1,1,0))</f>
        <v>0</v>
      </c>
      <c r="L87" s="32" t="str">
        <f aca="false">IF(K87=0,"",IF(LEN(TRIM(Scheda_1!$D$70&amp;""))=0,"MANCANTE",IF(LEFT(LOWER(TRIM(Scheda_1!$D$70&amp;"")),7)="non not","NON NOTO","ok")))</f>
        <v/>
      </c>
    </row>
    <row r="88" customFormat="false" ht="15" hidden="false" customHeight="false" outlineLevel="0" collapsed="false">
      <c r="A88" s="16" t="s">
        <v>250</v>
      </c>
      <c r="B88" s="31" t="s">
        <v>251</v>
      </c>
      <c r="C88" s="16" t="s">
        <v>195</v>
      </c>
      <c r="D88" s="32"/>
      <c r="E88" s="32"/>
      <c r="F88" s="32"/>
      <c r="G88" s="32" t="s">
        <v>795</v>
      </c>
      <c r="H88" s="32" t="n">
        <v>1</v>
      </c>
      <c r="I88" s="32" t="n">
        <f aca="false">IF(Scheda_1!$D$60="Sì",1,0)</f>
        <v>0</v>
      </c>
      <c r="J88" s="32" t="n">
        <f aca="false">IF($B$5="","",IF($B$5="ORD",D88,IF($B$5="CON",E88,IF($B$5="AGI",F88,G88))))</f>
        <v>0</v>
      </c>
      <c r="K88" s="32" t="n">
        <f aca="false">IF(OR(H88=0,I88=0,J88=""),0,IF(IF(J88="X",1,IF(J88="P",$B$6,IF(J88="C",$B$7,IF(J88="DR",$B$8,IF(J88="T",$B$9,0)))))=1,1,0))</f>
        <v>0</v>
      </c>
      <c r="L88" s="32" t="str">
        <f aca="false">IF(K88=0,"",IF(LEN(TRIM(Scheda_1!$D$71&amp;""))=0,"MANCANTE",IF(LEFT(LOWER(TRIM(Scheda_1!$D$71&amp;"")),7)="non not","NON NOTO","ok")))</f>
        <v/>
      </c>
    </row>
    <row r="89" customFormat="false" ht="15" hidden="false" customHeight="false" outlineLevel="0" collapsed="false">
      <c r="A89" s="16" t="s">
        <v>252</v>
      </c>
      <c r="B89" s="31" t="s">
        <v>253</v>
      </c>
      <c r="C89" s="16" t="s">
        <v>195</v>
      </c>
      <c r="D89" s="32"/>
      <c r="E89" s="32"/>
      <c r="F89" s="32"/>
      <c r="G89" s="32" t="s">
        <v>795</v>
      </c>
      <c r="H89" s="32" t="n">
        <v>1</v>
      </c>
      <c r="I89" s="32" t="n">
        <f aca="false">IF(Scheda_1!$D$60="Sì",1,0)</f>
        <v>0</v>
      </c>
      <c r="J89" s="32" t="n">
        <f aca="false">IF($B$5="","",IF($B$5="ORD",D89,IF($B$5="CON",E89,IF($B$5="AGI",F89,G89))))</f>
        <v>0</v>
      </c>
      <c r="K89" s="32" t="n">
        <f aca="false">IF(OR(H89=0,I89=0,J89=""),0,IF(IF(J89="X",1,IF(J89="P",$B$6,IF(J89="C",$B$7,IF(J89="DR",$B$8,IF(J89="T",$B$9,0)))))=1,1,0))</f>
        <v>0</v>
      </c>
      <c r="L89" s="32" t="str">
        <f aca="false">IF(K89=0,"",IF(LEN(TRIM(Scheda_1!$D$72&amp;""))=0,"MANCANTE",IF(LEFT(LOWER(TRIM(Scheda_1!$D$72&amp;"")),7)="non not","NON NOTO","ok")))</f>
        <v/>
      </c>
    </row>
    <row r="90" customFormat="false" ht="15" hidden="false" customHeight="false" outlineLevel="0" collapsed="false">
      <c r="A90" s="16" t="s">
        <v>254</v>
      </c>
      <c r="B90" s="31" t="s">
        <v>255</v>
      </c>
      <c r="C90" s="16" t="s">
        <v>195</v>
      </c>
      <c r="D90" s="32"/>
      <c r="E90" s="32"/>
      <c r="F90" s="32"/>
      <c r="G90" s="32" t="s">
        <v>795</v>
      </c>
      <c r="H90" s="32" t="n">
        <v>1</v>
      </c>
      <c r="I90" s="32" t="n">
        <f aca="false">IF(Scheda_1!$D$60="Sì",1,0)</f>
        <v>0</v>
      </c>
      <c r="J90" s="32" t="n">
        <f aca="false">IF($B$5="","",IF($B$5="ORD",D90,IF($B$5="CON",E90,IF($B$5="AGI",F90,G90))))</f>
        <v>0</v>
      </c>
      <c r="K90" s="32" t="n">
        <f aca="false">IF(OR(H90=0,I90=0,J90=""),0,IF(IF(J90="X",1,IF(J90="P",$B$6,IF(J90="C",$B$7,IF(J90="DR",$B$8,IF(J90="T",$B$9,0)))))=1,1,0))</f>
        <v>0</v>
      </c>
      <c r="L90" s="32" t="str">
        <f aca="false">IF(K90=0,"",IF(LEN(TRIM(Scheda_1!$D$73&amp;""))=0,"MANCANTE",IF(LEFT(LOWER(TRIM(Scheda_1!$D$73&amp;"")),7)="non not","NON NOTO","ok")))</f>
        <v/>
      </c>
    </row>
    <row r="91" customFormat="false" ht="15" hidden="false" customHeight="false" outlineLevel="0" collapsed="false">
      <c r="A91" s="16" t="s">
        <v>256</v>
      </c>
      <c r="B91" s="31" t="s">
        <v>257</v>
      </c>
      <c r="C91" s="16" t="s">
        <v>195</v>
      </c>
      <c r="D91" s="32" t="s">
        <v>796</v>
      </c>
      <c r="E91" s="32"/>
      <c r="F91" s="32"/>
      <c r="G91" s="32"/>
      <c r="H91" s="32" t="n">
        <v>1</v>
      </c>
      <c r="I91" s="32" t="n">
        <v>1</v>
      </c>
      <c r="J91" s="32" t="str">
        <f aca="false">IF($B$5="","",IF($B$5="ORD",D91,IF($B$5="CON",E91,IF($B$5="AGI",F91,G91))))</f>
        <v>P</v>
      </c>
      <c r="K91" s="32" t="n">
        <f aca="false">IF(OR(H91=0,I91=0,J91=""),0,IF(IF(J91="X",1,IF(J91="P",$B$6,IF(J91="C",$B$7,IF(J91="DR",$B$8,IF(J91="T",$B$9,0)))))=1,1,0))</f>
        <v>0</v>
      </c>
      <c r="L91" s="32" t="str">
        <f aca="false">IF(K91=0,"",IF(LEN(TRIM(Scheda_1!$D$74&amp;""))=0,"MANCANTE",IF(LEFT(LOWER(TRIM(Scheda_1!$D$74&amp;"")),7)="non not","NON NOTO","ok")))</f>
        <v/>
      </c>
    </row>
    <row r="92" customFormat="false" ht="15" hidden="false" customHeight="false" outlineLevel="0" collapsed="false">
      <c r="A92" s="16" t="s">
        <v>260</v>
      </c>
      <c r="B92" s="31" t="s">
        <v>261</v>
      </c>
      <c r="C92" s="16" t="s">
        <v>195</v>
      </c>
      <c r="D92" s="32" t="s">
        <v>795</v>
      </c>
      <c r="E92" s="32" t="s">
        <v>795</v>
      </c>
      <c r="F92" s="32"/>
      <c r="G92" s="32" t="s">
        <v>795</v>
      </c>
      <c r="H92" s="32" t="n">
        <v>1</v>
      </c>
      <c r="I92" s="32" t="n">
        <f aca="false">IF(IFERROR(VLOOKUP(Scheda_1!$D$26,Elenchi!$J$2:$N$40,5,FALSE()),0)=1,1,0)</f>
        <v>0</v>
      </c>
      <c r="J92" s="32" t="str">
        <f aca="false">IF($B$5="","",IF($B$5="ORD",D92,IF($B$5="CON",E92,IF($B$5="AGI",F92,G92))))</f>
        <v>X</v>
      </c>
      <c r="K92" s="32" t="n">
        <f aca="false">IF(OR(H92=0,I92=0,J92=""),0,IF(IF(J92="X",1,IF(J92="P",$B$6,IF(J92="C",$B$7,IF(J92="DR",$B$8,IF(J92="T",$B$9,0)))))=1,1,0))</f>
        <v>0</v>
      </c>
      <c r="L92" s="32" t="str">
        <f aca="false">IF(K92=0,"",IF(LEN(TRIM(Scheda_1!$D$75&amp;""))=0,"MANCANTE",IF(LEFT(LOWER(TRIM(Scheda_1!$D$75&amp;"")),7)="non not","NON NOTO","ok")))</f>
        <v/>
      </c>
    </row>
    <row r="93" customFormat="false" ht="15" hidden="false" customHeight="false" outlineLevel="0" collapsed="false">
      <c r="A93" s="16" t="s">
        <v>264</v>
      </c>
      <c r="B93" s="31" t="s">
        <v>265</v>
      </c>
      <c r="C93" s="16" t="s">
        <v>195</v>
      </c>
      <c r="D93" s="32" t="s">
        <v>795</v>
      </c>
      <c r="E93" s="32"/>
      <c r="F93" s="32"/>
      <c r="G93" s="32"/>
      <c r="H93" s="32" t="n">
        <v>1</v>
      </c>
      <c r="I93" s="32" t="n">
        <f aca="false">IF(AND(IFERROR(VLOOKUP(Scheda_1!$D$26,Elenchi!$J$2:$N$40,5,FALSE()),0)=1,Scheda_1!$D$20="Nuova costruzione"),1,0)</f>
        <v>0</v>
      </c>
      <c r="J93" s="32" t="str">
        <f aca="false">IF($B$5="","",IF($B$5="ORD",D93,IF($B$5="CON",E93,IF($B$5="AGI",F93,G93))))</f>
        <v>X</v>
      </c>
      <c r="K93" s="32" t="n">
        <f aca="false">IF(OR(H93=0,I93=0,J93=""),0,IF(IF(J93="X",1,IF(J93="P",$B$6,IF(J93="C",$B$7,IF(J93="DR",$B$8,IF(J93="T",$B$9,0)))))=1,1,0))</f>
        <v>0</v>
      </c>
      <c r="L93" s="32" t="str">
        <f aca="false">IF(K93=0,"",IF(LEN(TRIM(Scheda_1!$D$76&amp;""))=0,"MANCANTE",IF(LEFT(LOWER(TRIM(Scheda_1!$D$76&amp;"")),7)="non not","NON NOTO","ok")))</f>
        <v/>
      </c>
    </row>
    <row r="94" customFormat="false" ht="15" hidden="false" customHeight="false" outlineLevel="0" collapsed="false">
      <c r="A94" s="16" t="s">
        <v>270</v>
      </c>
      <c r="B94" s="31" t="s">
        <v>272</v>
      </c>
      <c r="C94" s="16" t="s">
        <v>271</v>
      </c>
      <c r="D94" s="32" t="s">
        <v>796</v>
      </c>
      <c r="E94" s="32"/>
      <c r="F94" s="32"/>
      <c r="G94" s="32" t="s">
        <v>796</v>
      </c>
      <c r="H94" s="32" t="n">
        <v>1</v>
      </c>
      <c r="I94" s="32" t="n">
        <v>1</v>
      </c>
      <c r="J94" s="32" t="str">
        <f aca="false">IF($B$5="","",IF($B$5="ORD",D94,IF($B$5="CON",E94,IF($B$5="AGI",F94,G94))))</f>
        <v>P</v>
      </c>
      <c r="K94" s="32" t="n">
        <f aca="false">IF(OR(H94=0,I94=0,J94=""),0,IF(IF(J94="X",1,IF(J94="P",$B$6,IF(J94="C",$B$7,IF(J94="DR",$B$8,IF(J94="T",$B$9,0)))))=1,1,0))</f>
        <v>0</v>
      </c>
      <c r="L94" s="32" t="str">
        <f aca="false">IF(K94=0,"",IF(LEN(TRIM(Scheda_1!$D$79&amp;""))=0,"MANCANTE",IF(LEFT(LOWER(TRIM(Scheda_1!$D$79&amp;"")),7)="non not","NON NOTO","ok")))</f>
        <v/>
      </c>
    </row>
    <row r="95" customFormat="false" ht="15" hidden="false" customHeight="false" outlineLevel="0" collapsed="false">
      <c r="A95" s="16" t="s">
        <v>274</v>
      </c>
      <c r="B95" s="31" t="s">
        <v>275</v>
      </c>
      <c r="C95" s="16" t="s">
        <v>271</v>
      </c>
      <c r="D95" s="32" t="s">
        <v>796</v>
      </c>
      <c r="E95" s="32"/>
      <c r="F95" s="32"/>
      <c r="G95" s="32" t="s">
        <v>796</v>
      </c>
      <c r="H95" s="32" t="n">
        <v>1</v>
      </c>
      <c r="I95" s="32" t="n">
        <v>1</v>
      </c>
      <c r="J95" s="32" t="str">
        <f aca="false">IF($B$5="","",IF($B$5="ORD",D95,IF($B$5="CON",E95,IF($B$5="AGI",F95,G95))))</f>
        <v>P</v>
      </c>
      <c r="K95" s="32" t="n">
        <f aca="false">IF(OR(H95=0,I95=0,J95=""),0,IF(IF(J95="X",1,IF(J95="P",$B$6,IF(J95="C",$B$7,IF(J95="DR",$B$8,IF(J95="T",$B$9,0)))))=1,1,0))</f>
        <v>0</v>
      </c>
      <c r="L95" s="32" t="str">
        <f aca="false">IF(K95=0,"",IF(LEN(TRIM(Scheda_1!$D$80&amp;""))=0,"MANCANTE",IF(LEFT(LOWER(TRIM(Scheda_1!$D$80&amp;"")),7)="non not","NON NOTO","ok")))</f>
        <v/>
      </c>
    </row>
    <row r="96" customFormat="false" ht="15" hidden="false" customHeight="false" outlineLevel="0" collapsed="false">
      <c r="A96" s="16" t="s">
        <v>277</v>
      </c>
      <c r="B96" s="31" t="s">
        <v>278</v>
      </c>
      <c r="C96" s="16" t="s">
        <v>271</v>
      </c>
      <c r="D96" s="32" t="s">
        <v>796</v>
      </c>
      <c r="E96" s="32"/>
      <c r="F96" s="32"/>
      <c r="G96" s="32" t="s">
        <v>796</v>
      </c>
      <c r="H96" s="32" t="n">
        <v>1</v>
      </c>
      <c r="I96" s="32" t="n">
        <v>1</v>
      </c>
      <c r="J96" s="32" t="str">
        <f aca="false">IF($B$5="","",IF($B$5="ORD",D96,IF($B$5="CON",E96,IF($B$5="AGI",F96,G96))))</f>
        <v>P</v>
      </c>
      <c r="K96" s="32" t="n">
        <f aca="false">IF(OR(H96=0,I96=0,J96=""),0,IF(IF(J96="X",1,IF(J96="P",$B$6,IF(J96="C",$B$7,IF(J96="DR",$B$8,IF(J96="T",$B$9,0)))))=1,1,0))</f>
        <v>0</v>
      </c>
      <c r="L96" s="32" t="str">
        <f aca="false">IF(K96=0,"",IF(LEN(TRIM(Scheda_1!$D$81&amp;""))=0,"MANCANTE",IF(LEFT(LOWER(TRIM(Scheda_1!$D$81&amp;"")),7)="non not","NON NOTO","ok")))</f>
        <v/>
      </c>
    </row>
    <row r="97" customFormat="false" ht="15" hidden="false" customHeight="false" outlineLevel="0" collapsed="false">
      <c r="A97" s="16" t="s">
        <v>279</v>
      </c>
      <c r="B97" s="31" t="s">
        <v>280</v>
      </c>
      <c r="C97" s="16" t="s">
        <v>271</v>
      </c>
      <c r="D97" s="32" t="s">
        <v>796</v>
      </c>
      <c r="E97" s="32"/>
      <c r="F97" s="32"/>
      <c r="G97" s="32" t="s">
        <v>796</v>
      </c>
      <c r="H97" s="32" t="n">
        <v>1</v>
      </c>
      <c r="I97" s="32" t="n">
        <v>1</v>
      </c>
      <c r="J97" s="32" t="str">
        <f aca="false">IF($B$5="","",IF($B$5="ORD",D97,IF($B$5="CON",E97,IF($B$5="AGI",F97,G97))))</f>
        <v>P</v>
      </c>
      <c r="K97" s="32" t="n">
        <f aca="false">IF(OR(H97=0,I97=0,J97=""),0,IF(IF(J97="X",1,IF(J97="P",$B$6,IF(J97="C",$B$7,IF(J97="DR",$B$8,IF(J97="T",$B$9,0)))))=1,1,0))</f>
        <v>0</v>
      </c>
      <c r="L97" s="32" t="str">
        <f aca="false">IF(K97=0,"",IF(LEN(TRIM(Scheda_1!$D$82&amp;""))=0,"MANCANTE",IF(LEFT(LOWER(TRIM(Scheda_1!$D$82&amp;"")),7)="non not","NON NOTO","ok")))</f>
        <v/>
      </c>
    </row>
    <row r="98" customFormat="false" ht="15" hidden="false" customHeight="false" outlineLevel="0" collapsed="false">
      <c r="A98" s="16" t="s">
        <v>281</v>
      </c>
      <c r="B98" s="31" t="s">
        <v>282</v>
      </c>
      <c r="C98" s="16" t="s">
        <v>271</v>
      </c>
      <c r="D98" s="32" t="s">
        <v>796</v>
      </c>
      <c r="E98" s="32"/>
      <c r="F98" s="32"/>
      <c r="G98" s="32" t="s">
        <v>796</v>
      </c>
      <c r="H98" s="32" t="n">
        <v>1</v>
      </c>
      <c r="I98" s="32" t="n">
        <v>1</v>
      </c>
      <c r="J98" s="32" t="str">
        <f aca="false">IF($B$5="","",IF($B$5="ORD",D98,IF($B$5="CON",E98,IF($B$5="AGI",F98,G98))))</f>
        <v>P</v>
      </c>
      <c r="K98" s="32" t="n">
        <f aca="false">IF(OR(H98=0,I98=0,J98=""),0,IF(IF(J98="X",1,IF(J98="P",$B$6,IF(J98="C",$B$7,IF(J98="DR",$B$8,IF(J98="T",$B$9,0)))))=1,1,0))</f>
        <v>0</v>
      </c>
      <c r="L98" s="32" t="str">
        <f aca="false">IF(K98=0,"",IF(LEN(TRIM(Scheda_1!$D$83&amp;""))=0,"MANCANTE",IF(LEFT(LOWER(TRIM(Scheda_1!$D$83&amp;"")),7)="non not","NON NOTO","ok")))</f>
        <v/>
      </c>
    </row>
    <row r="99" customFormat="false" ht="15" hidden="false" customHeight="false" outlineLevel="0" collapsed="false">
      <c r="A99" s="16" t="s">
        <v>283</v>
      </c>
      <c r="B99" s="31" t="s">
        <v>284</v>
      </c>
      <c r="C99" s="16" t="s">
        <v>271</v>
      </c>
      <c r="D99" s="32" t="s">
        <v>796</v>
      </c>
      <c r="E99" s="32"/>
      <c r="F99" s="32"/>
      <c r="G99" s="32" t="s">
        <v>796</v>
      </c>
      <c r="H99" s="32" t="n">
        <v>1</v>
      </c>
      <c r="I99" s="32" t="n">
        <v>1</v>
      </c>
      <c r="J99" s="32" t="str">
        <f aca="false">IF($B$5="","",IF($B$5="ORD",D99,IF($B$5="CON",E99,IF($B$5="AGI",F99,G99))))</f>
        <v>P</v>
      </c>
      <c r="K99" s="32" t="n">
        <f aca="false">IF(OR(H99=0,I99=0,J99=""),0,IF(IF(J99="X",1,IF(J99="P",$B$6,IF(J99="C",$B$7,IF(J99="DR",$B$8,IF(J99="T",$B$9,0)))))=1,1,0))</f>
        <v>0</v>
      </c>
      <c r="L99" s="32" t="str">
        <f aca="false">IF(K99=0,"",IF(LEN(TRIM(Scheda_1!$D$84&amp;""))=0,"MANCANTE",IF(LEFT(LOWER(TRIM(Scheda_1!$D$84&amp;"")),7)="non not","NON NOTO","ok")))</f>
        <v/>
      </c>
    </row>
    <row r="100" customFormat="false" ht="15" hidden="false" customHeight="false" outlineLevel="0" collapsed="false">
      <c r="A100" s="16" t="s">
        <v>285</v>
      </c>
      <c r="B100" s="31" t="s">
        <v>286</v>
      </c>
      <c r="C100" s="16" t="s">
        <v>271</v>
      </c>
      <c r="D100" s="32" t="s">
        <v>796</v>
      </c>
      <c r="E100" s="32"/>
      <c r="F100" s="32"/>
      <c r="G100" s="32" t="s">
        <v>796</v>
      </c>
      <c r="H100" s="32" t="n">
        <v>1</v>
      </c>
      <c r="I100" s="32" t="n">
        <v>1</v>
      </c>
      <c r="J100" s="32" t="str">
        <f aca="false">IF($B$5="","",IF($B$5="ORD",D100,IF($B$5="CON",E100,IF($B$5="AGI",F100,G100))))</f>
        <v>P</v>
      </c>
      <c r="K100" s="32" t="n">
        <f aca="false">IF(OR(H100=0,I100=0,J100=""),0,IF(IF(J100="X",1,IF(J100="P",$B$6,IF(J100="C",$B$7,IF(J100="DR",$B$8,IF(J100="T",$B$9,0)))))=1,1,0))</f>
        <v>0</v>
      </c>
      <c r="L100" s="32" t="str">
        <f aca="false">IF(K100=0,"",IF(LEN(TRIM(Scheda_1!$D$85&amp;""))=0,"MANCANTE",IF(LEFT(LOWER(TRIM(Scheda_1!$D$85&amp;"")),7)="non not","NON NOTO","ok")))</f>
        <v/>
      </c>
    </row>
    <row r="101" customFormat="false" ht="15" hidden="false" customHeight="false" outlineLevel="0" collapsed="false">
      <c r="A101" s="16" t="s">
        <v>287</v>
      </c>
      <c r="B101" s="31" t="s">
        <v>288</v>
      </c>
      <c r="C101" s="16" t="s">
        <v>271</v>
      </c>
      <c r="D101" s="32" t="s">
        <v>796</v>
      </c>
      <c r="E101" s="32"/>
      <c r="F101" s="32"/>
      <c r="G101" s="32" t="s">
        <v>796</v>
      </c>
      <c r="H101" s="32" t="n">
        <v>1</v>
      </c>
      <c r="I101" s="32" t="n">
        <v>1</v>
      </c>
      <c r="J101" s="32" t="str">
        <f aca="false">IF($B$5="","",IF($B$5="ORD",D101,IF($B$5="CON",E101,IF($B$5="AGI",F101,G101))))</f>
        <v>P</v>
      </c>
      <c r="K101" s="32" t="n">
        <f aca="false">IF(OR(H101=0,I101=0,J101=""),0,IF(IF(J101="X",1,IF(J101="P",$B$6,IF(J101="C",$B$7,IF(J101="DR",$B$8,IF(J101="T",$B$9,0)))))=1,1,0))</f>
        <v>0</v>
      </c>
      <c r="L101" s="32" t="str">
        <f aca="false">IF(K101=0,"",IF(LEN(TRIM(Scheda_1!$D$86&amp;""))=0,"MANCANTE",IF(LEFT(LOWER(TRIM(Scheda_1!$D$86&amp;"")),7)="non not","NON NOTO","ok")))</f>
        <v/>
      </c>
    </row>
    <row r="102" customFormat="false" ht="15" hidden="false" customHeight="false" outlineLevel="0" collapsed="false">
      <c r="A102" s="16" t="s">
        <v>289</v>
      </c>
      <c r="B102" s="31" t="s">
        <v>290</v>
      </c>
      <c r="C102" s="16" t="s">
        <v>271</v>
      </c>
      <c r="D102" s="32" t="s">
        <v>796</v>
      </c>
      <c r="E102" s="32"/>
      <c r="F102" s="32"/>
      <c r="G102" s="32" t="s">
        <v>796</v>
      </c>
      <c r="H102" s="32" t="n">
        <v>1</v>
      </c>
      <c r="I102" s="32" t="n">
        <v>1</v>
      </c>
      <c r="J102" s="32" t="str">
        <f aca="false">IF($B$5="","",IF($B$5="ORD",D102,IF($B$5="CON",E102,IF($B$5="AGI",F102,G102))))</f>
        <v>P</v>
      </c>
      <c r="K102" s="32" t="n">
        <f aca="false">IF(OR(H102=0,I102=0,J102=""),0,IF(IF(J102="X",1,IF(J102="P",$B$6,IF(J102="C",$B$7,IF(J102="DR",$B$8,IF(J102="T",$B$9,0)))))=1,1,0))</f>
        <v>0</v>
      </c>
      <c r="L102" s="32" t="str">
        <f aca="false">IF(K102=0,"",IF(LEN(TRIM(Scheda_1!$D$87&amp;""))=0,"MANCANTE",IF(LEFT(LOWER(TRIM(Scheda_1!$D$87&amp;"")),7)="non not","NON NOTO","ok")))</f>
        <v/>
      </c>
    </row>
    <row r="103" customFormat="false" ht="15" hidden="false" customHeight="false" outlineLevel="0" collapsed="false">
      <c r="A103" s="16" t="s">
        <v>291</v>
      </c>
      <c r="B103" s="31" t="s">
        <v>292</v>
      </c>
      <c r="C103" s="16" t="s">
        <v>271</v>
      </c>
      <c r="D103" s="32" t="s">
        <v>796</v>
      </c>
      <c r="E103" s="32"/>
      <c r="F103" s="32"/>
      <c r="G103" s="32" t="s">
        <v>796</v>
      </c>
      <c r="H103" s="32" t="n">
        <v>1</v>
      </c>
      <c r="I103" s="32" t="n">
        <v>1</v>
      </c>
      <c r="J103" s="32" t="str">
        <f aca="false">IF($B$5="","",IF($B$5="ORD",D103,IF($B$5="CON",E103,IF($B$5="AGI",F103,G103))))</f>
        <v>P</v>
      </c>
      <c r="K103" s="32" t="n">
        <f aca="false">IF(OR(H103=0,I103=0,J103=""),0,IF(IF(J103="X",1,IF(J103="P",$B$6,IF(J103="C",$B$7,IF(J103="DR",$B$8,IF(J103="T",$B$9,0)))))=1,1,0))</f>
        <v>0</v>
      </c>
      <c r="L103" s="32" t="str">
        <f aca="false">IF(K103=0,"",IF(LEN(TRIM(Scheda_1!$D$88&amp;""))=0,"MANCANTE",IF(LEFT(LOWER(TRIM(Scheda_1!$D$88&amp;"")),7)="non not","NON NOTO","ok")))</f>
        <v/>
      </c>
    </row>
    <row r="104" customFormat="false" ht="15" hidden="false" customHeight="false" outlineLevel="0" collapsed="false">
      <c r="A104" s="16" t="s">
        <v>294</v>
      </c>
      <c r="B104" s="31" t="s">
        <v>295</v>
      </c>
      <c r="C104" s="16" t="s">
        <v>271</v>
      </c>
      <c r="D104" s="32" t="s">
        <v>796</v>
      </c>
      <c r="E104" s="32"/>
      <c r="F104" s="32"/>
      <c r="G104" s="32" t="s">
        <v>796</v>
      </c>
      <c r="H104" s="32" t="n">
        <v>1</v>
      </c>
      <c r="I104" s="32" t="n">
        <v>1</v>
      </c>
      <c r="J104" s="32" t="str">
        <f aca="false">IF($B$5="","",IF($B$5="ORD",D104,IF($B$5="CON",E104,IF($B$5="AGI",F104,G104))))</f>
        <v>P</v>
      </c>
      <c r="K104" s="32" t="n">
        <f aca="false">IF(OR(H104=0,I104=0,J104=""),0,IF(IF(J104="X",1,IF(J104="P",$B$6,IF(J104="C",$B$7,IF(J104="DR",$B$8,IF(J104="T",$B$9,0)))))=1,1,0))</f>
        <v>0</v>
      </c>
      <c r="L104" s="32" t="str">
        <f aca="false">IF(K104=0,"",IF(LEN(TRIM(Scheda_1!$D$89&amp;""))=0,"MANCANTE",IF(LEFT(LOWER(TRIM(Scheda_1!$D$89&amp;"")),7)="non not","NON NOTO","ok")))</f>
        <v/>
      </c>
    </row>
    <row r="105" customFormat="false" ht="15" hidden="false" customHeight="false" outlineLevel="0" collapsed="false">
      <c r="A105" s="16" t="s">
        <v>296</v>
      </c>
      <c r="B105" s="31" t="s">
        <v>297</v>
      </c>
      <c r="C105" s="16" t="s">
        <v>271</v>
      </c>
      <c r="D105" s="32" t="s">
        <v>797</v>
      </c>
      <c r="E105" s="32"/>
      <c r="F105" s="32"/>
      <c r="G105" s="32" t="s">
        <v>797</v>
      </c>
      <c r="H105" s="32" t="n">
        <v>1</v>
      </c>
      <c r="I105" s="32" t="n">
        <v>1</v>
      </c>
      <c r="J105" s="32" t="str">
        <f aca="false">IF($B$5="","",IF($B$5="ORD",D105,IF($B$5="CON",E105,IF($B$5="AGI",F105,G105))))</f>
        <v>C</v>
      </c>
      <c r="K105" s="32" t="n">
        <f aca="false">IF(OR(H105=0,I105=0,J105=""),0,IF(IF(J105="X",1,IF(J105="P",$B$6,IF(J105="C",$B$7,IF(J105="DR",$B$8,IF(J105="T",$B$9,0)))))=1,1,0))</f>
        <v>1</v>
      </c>
      <c r="L105" s="32" t="str">
        <f aca="false">IF(K105=0,"",IF(LEN(TRIM(Scheda_1!$D$90&amp;""))=0,"MANCANTE",IF(LEFT(LOWER(TRIM(Scheda_1!$D$90&amp;"")),7)="non not","NON NOTO","ok")))</f>
        <v>ok</v>
      </c>
    </row>
    <row r="106" customFormat="false" ht="15" hidden="false" customHeight="false" outlineLevel="0" collapsed="false">
      <c r="A106" s="16" t="s">
        <v>300</v>
      </c>
      <c r="B106" s="31" t="s">
        <v>301</v>
      </c>
      <c r="C106" s="16" t="s">
        <v>271</v>
      </c>
      <c r="D106" s="32" t="s">
        <v>797</v>
      </c>
      <c r="E106" s="32"/>
      <c r="F106" s="32"/>
      <c r="G106" s="32" t="s">
        <v>797</v>
      </c>
      <c r="H106" s="32" t="n">
        <v>1</v>
      </c>
      <c r="I106" s="32" t="n">
        <v>1</v>
      </c>
      <c r="J106" s="32" t="str">
        <f aca="false">IF($B$5="","",IF($B$5="ORD",D106,IF($B$5="CON",E106,IF($B$5="AGI",F106,G106))))</f>
        <v>C</v>
      </c>
      <c r="K106" s="32" t="n">
        <f aca="false">IF(OR(H106=0,I106=0,J106=""),0,IF(IF(J106="X",1,IF(J106="P",$B$6,IF(J106="C",$B$7,IF(J106="DR",$B$8,IF(J106="T",$B$9,0)))))=1,1,0))</f>
        <v>1</v>
      </c>
      <c r="L106" s="32" t="str">
        <f aca="false">IF(K106=0,"",IF(LEN(TRIM(Scheda_1!$D$91&amp;""))=0,"MANCANTE",IF(LEFT(LOWER(TRIM(Scheda_1!$D$91&amp;"")),7)="non not","NON NOTO","ok")))</f>
        <v>ok</v>
      </c>
    </row>
    <row r="107" customFormat="false" ht="15" hidden="false" customHeight="false" outlineLevel="0" collapsed="false">
      <c r="A107" s="16" t="s">
        <v>302</v>
      </c>
      <c r="B107" s="31" t="s">
        <v>303</v>
      </c>
      <c r="C107" s="16" t="s">
        <v>271</v>
      </c>
      <c r="D107" s="32" t="s">
        <v>796</v>
      </c>
      <c r="E107" s="32" t="s">
        <v>795</v>
      </c>
      <c r="F107" s="32"/>
      <c r="G107" s="32" t="s">
        <v>796</v>
      </c>
      <c r="H107" s="32" t="n">
        <v>1</v>
      </c>
      <c r="I107" s="32" t="n">
        <v>1</v>
      </c>
      <c r="J107" s="32" t="str">
        <f aca="false">IF($B$5="","",IF($B$5="ORD",D107,IF($B$5="CON",E107,IF($B$5="AGI",F107,G107))))</f>
        <v>P</v>
      </c>
      <c r="K107" s="32" t="n">
        <f aca="false">IF(OR(H107=0,I107=0,J107=""),0,IF(IF(J107="X",1,IF(J107="P",$B$6,IF(J107="C",$B$7,IF(J107="DR",$B$8,IF(J107="T",$B$9,0)))))=1,1,0))</f>
        <v>0</v>
      </c>
      <c r="L107" s="32" t="str">
        <f aca="false">IF(K107=0,"",IF(LEN(TRIM(Scheda_1!$D$92&amp;""))=0,"MANCANTE",IF(LEFT(LOWER(TRIM(Scheda_1!$D$92&amp;"")),7)="non not","NON NOTO","ok")))</f>
        <v/>
      </c>
    </row>
    <row r="108" customFormat="false" ht="15" hidden="false" customHeight="false" outlineLevel="0" collapsed="false">
      <c r="A108" s="16" t="s">
        <v>305</v>
      </c>
      <c r="B108" s="31" t="s">
        <v>306</v>
      </c>
      <c r="C108" s="16" t="s">
        <v>271</v>
      </c>
      <c r="D108" s="32" t="s">
        <v>796</v>
      </c>
      <c r="E108" s="32"/>
      <c r="F108" s="32"/>
      <c r="G108" s="32" t="s">
        <v>796</v>
      </c>
      <c r="H108" s="32" t="n">
        <v>1</v>
      </c>
      <c r="I108" s="32" t="n">
        <v>1</v>
      </c>
      <c r="J108" s="32" t="str">
        <f aca="false">IF($B$5="","",IF($B$5="ORD",D108,IF($B$5="CON",E108,IF($B$5="AGI",F108,G108))))</f>
        <v>P</v>
      </c>
      <c r="K108" s="32" t="n">
        <f aca="false">IF(OR(H108=0,I108=0,J108=""),0,IF(IF(J108="X",1,IF(J108="P",$B$6,IF(J108="C",$B$7,IF(J108="DR",$B$8,IF(J108="T",$B$9,0)))))=1,1,0))</f>
        <v>0</v>
      </c>
      <c r="L108" s="32" t="str">
        <f aca="false">IF(K108=0,"",IF(LEN(TRIM(Scheda_1!$D$93&amp;""))=0,"MANCANTE",IF(LEFT(LOWER(TRIM(Scheda_1!$D$93&amp;"")),7)="non not","NON NOTO","ok")))</f>
        <v/>
      </c>
    </row>
    <row r="109" customFormat="false" ht="15" hidden="false" customHeight="false" outlineLevel="0" collapsed="false">
      <c r="A109" s="16" t="s">
        <v>308</v>
      </c>
      <c r="B109" s="31" t="s">
        <v>309</v>
      </c>
      <c r="C109" s="16" t="s">
        <v>271</v>
      </c>
      <c r="D109" s="32"/>
      <c r="E109" s="32"/>
      <c r="F109" s="32"/>
      <c r="G109" s="32"/>
      <c r="H109" s="32" t="n">
        <v>1</v>
      </c>
      <c r="I109" s="32" t="n">
        <v>1</v>
      </c>
      <c r="J109" s="32" t="n">
        <f aca="false">IF($B$5="","",IF($B$5="ORD",D109,IF($B$5="CON",E109,IF($B$5="AGI",F109,G109))))</f>
        <v>0</v>
      </c>
      <c r="K109" s="32" t="n">
        <v>0</v>
      </c>
      <c r="L109" s="32" t="str">
        <f aca="false">IF(K109=0,"",IF(LEN(TRIM(Scheda_1!$D$94&amp;""))=0,"MANCANTE",IF(LEFT(LOWER(TRIM(Scheda_1!$D$94&amp;"")),7)="non not","NON NOTO","ok")))</f>
        <v/>
      </c>
    </row>
    <row r="110" customFormat="false" ht="15" hidden="false" customHeight="false" outlineLevel="0" collapsed="false">
      <c r="A110" s="16" t="s">
        <v>312</v>
      </c>
      <c r="B110" s="31" t="s">
        <v>313</v>
      </c>
      <c r="C110" s="16" t="s">
        <v>271</v>
      </c>
      <c r="D110" s="32" t="s">
        <v>796</v>
      </c>
      <c r="E110" s="32"/>
      <c r="F110" s="32"/>
      <c r="G110" s="32"/>
      <c r="H110" s="32" t="n">
        <v>1</v>
      </c>
      <c r="I110" s="32" t="n">
        <v>1</v>
      </c>
      <c r="J110" s="32" t="str">
        <f aca="false">IF($B$5="","",IF($B$5="ORD",D110,IF($B$5="CON",E110,IF($B$5="AGI",F110,G110))))</f>
        <v>P</v>
      </c>
      <c r="K110" s="32" t="n">
        <f aca="false">IF(OR(H110=0,I110=0,J110=""),0,IF(IF(J110="X",1,IF(J110="P",$B$6,IF(J110="C",$B$7,IF(J110="DR",$B$8,IF(J110="T",$B$9,0)))))=1,1,0))</f>
        <v>0</v>
      </c>
      <c r="L110" s="32" t="str">
        <f aca="false">IF(K110=0,"",IF(LEN(TRIM(Scheda_1!$D$95&amp;""))=0,"MANCANTE",IF(LEFT(LOWER(TRIM(Scheda_1!$D$95&amp;"")),7)="non not","NON NOTO","ok")))</f>
        <v/>
      </c>
    </row>
    <row r="111" customFormat="false" ht="15" hidden="false" customHeight="false" outlineLevel="0" collapsed="false">
      <c r="A111" s="16" t="s">
        <v>315</v>
      </c>
      <c r="B111" s="31" t="s">
        <v>316</v>
      </c>
      <c r="C111" s="16" t="s">
        <v>271</v>
      </c>
      <c r="D111" s="32" t="s">
        <v>797</v>
      </c>
      <c r="E111" s="32"/>
      <c r="F111" s="32"/>
      <c r="G111" s="32" t="s">
        <v>797</v>
      </c>
      <c r="H111" s="32" t="n">
        <v>1</v>
      </c>
      <c r="I111" s="32" t="n">
        <v>1</v>
      </c>
      <c r="J111" s="32" t="str">
        <f aca="false">IF($B$5="","",IF($B$5="ORD",D111,IF($B$5="CON",E111,IF($B$5="AGI",F111,G111))))</f>
        <v>C</v>
      </c>
      <c r="K111" s="32" t="n">
        <f aca="false">IF(OR(H111=0,I111=0,J111=""),0,IF(IF(J111="X",1,IF(J111="P",$B$6,IF(J111="C",$B$7,IF(J111="DR",$B$8,IF(J111="T",$B$9,0)))))=1,1,0))</f>
        <v>1</v>
      </c>
      <c r="L111" s="32" t="str">
        <f aca="false">IF(K111=0,"",IF(LEN(TRIM(Scheda_1!$D$96&amp;""))=0,"MANCANTE",IF(LEFT(LOWER(TRIM(Scheda_1!$D$96&amp;"")),7)="non not","NON NOTO","ok")))</f>
        <v>ok</v>
      </c>
    </row>
    <row r="112" customFormat="false" ht="15" hidden="false" customHeight="false" outlineLevel="0" collapsed="false">
      <c r="A112" s="16" t="s">
        <v>318</v>
      </c>
      <c r="B112" s="31" t="s">
        <v>319</v>
      </c>
      <c r="C112" s="16" t="s">
        <v>271</v>
      </c>
      <c r="D112" s="32" t="s">
        <v>797</v>
      </c>
      <c r="E112" s="32"/>
      <c r="F112" s="32"/>
      <c r="G112" s="32" t="s">
        <v>797</v>
      </c>
      <c r="H112" s="32" t="n">
        <v>1</v>
      </c>
      <c r="I112" s="32" t="n">
        <f aca="false">IF(Scheda_1!$D$96="Sì",1,0)</f>
        <v>0</v>
      </c>
      <c r="J112" s="32" t="str">
        <f aca="false">IF($B$5="","",IF($B$5="ORD",D112,IF($B$5="CON",E112,IF($B$5="AGI",F112,G112))))</f>
        <v>C</v>
      </c>
      <c r="K112" s="32" t="n">
        <f aca="false">IF(OR(H112=0,I112=0,J112=""),0,IF(IF(J112="X",1,IF(J112="P",$B$6,IF(J112="C",$B$7,IF(J112="DR",$B$8,IF(J112="T",$B$9,0)))))=1,1,0))</f>
        <v>0</v>
      </c>
      <c r="L112" s="32" t="str">
        <f aca="false">IF(K112=0,"",IF(LEN(TRIM(Scheda_1!$D$97&amp;""))=0,"MANCANTE",IF(LEFT(LOWER(TRIM(Scheda_1!$D$97&amp;"")),7)="non not","NON NOTO","ok")))</f>
        <v/>
      </c>
    </row>
    <row r="113" customFormat="false" ht="15" hidden="false" customHeight="false" outlineLevel="0" collapsed="false">
      <c r="A113" s="16" t="s">
        <v>322</v>
      </c>
      <c r="B113" s="31" t="s">
        <v>323</v>
      </c>
      <c r="C113" s="16" t="s">
        <v>271</v>
      </c>
      <c r="D113" s="32" t="s">
        <v>797</v>
      </c>
      <c r="E113" s="32"/>
      <c r="F113" s="32"/>
      <c r="G113" s="32" t="s">
        <v>797</v>
      </c>
      <c r="H113" s="32" t="n">
        <v>1</v>
      </c>
      <c r="I113" s="32" t="n">
        <v>1</v>
      </c>
      <c r="J113" s="32" t="str">
        <f aca="false">IF($B$5="","",IF($B$5="ORD",D113,IF($B$5="CON",E113,IF($B$5="AGI",F113,G113))))</f>
        <v>C</v>
      </c>
      <c r="K113" s="32" t="n">
        <f aca="false">IF(OR(H113=0,I113=0,J113=""),0,IF(IF(J113="X",1,IF(J113="P",$B$6,IF(J113="C",$B$7,IF(J113="DR",$B$8,IF(J113="T",$B$9,0)))))=1,1,0))</f>
        <v>1</v>
      </c>
      <c r="L113" s="32" t="str">
        <f aca="false">IF(K113=0,"",IF(LEN(TRIM(Scheda_1!$D$98&amp;""))=0,"MANCANTE",IF(LEFT(LOWER(TRIM(Scheda_1!$D$98&amp;"")),7)="non not","NON NOTO","ok")))</f>
        <v>ok</v>
      </c>
    </row>
    <row r="114" customFormat="false" ht="15" hidden="false" customHeight="false" outlineLevel="0" collapsed="false">
      <c r="A114" s="16" t="s">
        <v>325</v>
      </c>
      <c r="B114" s="31" t="s">
        <v>326</v>
      </c>
      <c r="C114" s="16" t="s">
        <v>271</v>
      </c>
      <c r="D114" s="32" t="s">
        <v>796</v>
      </c>
      <c r="E114" s="32"/>
      <c r="F114" s="32"/>
      <c r="G114" s="32" t="s">
        <v>796</v>
      </c>
      <c r="H114" s="32" t="n">
        <v>1</v>
      </c>
      <c r="I114" s="32" t="n">
        <v>1</v>
      </c>
      <c r="J114" s="32" t="str">
        <f aca="false">IF($B$5="","",IF($B$5="ORD",D114,IF($B$5="CON",E114,IF($B$5="AGI",F114,G114))))</f>
        <v>P</v>
      </c>
      <c r="K114" s="32" t="n">
        <f aca="false">IF(OR(H114=0,I114=0,J114=""),0,IF(IF(J114="X",1,IF(J114="P",$B$6,IF(J114="C",$B$7,IF(J114="DR",$B$8,IF(J114="T",$B$9,0)))))=1,1,0))</f>
        <v>0</v>
      </c>
      <c r="L114" s="32" t="str">
        <f aca="false">IF(K114=0,"",IF(LEN(TRIM(Scheda_1!$D$99&amp;""))=0,"MANCANTE",IF(LEFT(LOWER(TRIM(Scheda_1!$D$99&amp;"")),7)="non not","NON NOTO","ok")))</f>
        <v/>
      </c>
    </row>
    <row r="115" customFormat="false" ht="15" hidden="false" customHeight="false" outlineLevel="0" collapsed="false">
      <c r="A115" s="16" t="s">
        <v>328</v>
      </c>
      <c r="B115" s="31" t="s">
        <v>329</v>
      </c>
      <c r="C115" s="16" t="s">
        <v>271</v>
      </c>
      <c r="D115" s="32" t="s">
        <v>796</v>
      </c>
      <c r="E115" s="32"/>
      <c r="F115" s="32"/>
      <c r="G115" s="32" t="s">
        <v>796</v>
      </c>
      <c r="H115" s="32" t="n">
        <v>1</v>
      </c>
      <c r="I115" s="32" t="n">
        <f aca="false">IF(Scheda_1!$D$99="Sì",1,0)</f>
        <v>0</v>
      </c>
      <c r="J115" s="32" t="str">
        <f aca="false">IF($B$5="","",IF($B$5="ORD",D115,IF($B$5="CON",E115,IF($B$5="AGI",F115,G115))))</f>
        <v>P</v>
      </c>
      <c r="K115" s="32" t="n">
        <f aca="false">IF(OR(H115=0,I115=0,J115=""),0,IF(IF(J115="X",1,IF(J115="P",$B$6,IF(J115="C",$B$7,IF(J115="DR",$B$8,IF(J115="T",$B$9,0)))))=1,1,0))</f>
        <v>0</v>
      </c>
      <c r="L115" s="32" t="str">
        <f aca="false">IF(K115=0,"",IF(LEN(TRIM(Scheda_1!$D$100&amp;""))=0,"MANCANTE",IF(LEFT(LOWER(TRIM(Scheda_1!$D$100&amp;"")),7)="non not","NON NOTO","ok")))</f>
        <v/>
      </c>
    </row>
    <row r="116" customFormat="false" ht="15" hidden="false" customHeight="false" outlineLevel="0" collapsed="false">
      <c r="A116" s="16" t="s">
        <v>332</v>
      </c>
      <c r="B116" s="31" t="s">
        <v>333</v>
      </c>
      <c r="C116" s="16" t="s">
        <v>271</v>
      </c>
      <c r="D116" s="32" t="s">
        <v>796</v>
      </c>
      <c r="E116" s="32"/>
      <c r="F116" s="32"/>
      <c r="G116" s="32" t="s">
        <v>796</v>
      </c>
      <c r="H116" s="32" t="n">
        <v>1</v>
      </c>
      <c r="I116" s="32" t="n">
        <f aca="false">IF(Scheda_1!$D$99="Sì",1,0)</f>
        <v>0</v>
      </c>
      <c r="J116" s="32" t="str">
        <f aca="false">IF($B$5="","",IF($B$5="ORD",D116,IF($B$5="CON",E116,IF($B$5="AGI",F116,G116))))</f>
        <v>P</v>
      </c>
      <c r="K116" s="32" t="n">
        <f aca="false">IF(OR(H116=0,I116=0,J116=""),0,IF(IF(J116="X",1,IF(J116="P",$B$6,IF(J116="C",$B$7,IF(J116="DR",$B$8,IF(J116="T",$B$9,0)))))=1,1,0))</f>
        <v>0</v>
      </c>
      <c r="L116" s="32" t="str">
        <f aca="false">IF(K116=0,"",IF(LEN(TRIM(Scheda_1!$D$101&amp;""))=0,"MANCANTE",IF(LEFT(LOWER(TRIM(Scheda_1!$D$101&amp;"")),7)="non not","NON NOTO","ok")))</f>
        <v/>
      </c>
    </row>
    <row r="117" customFormat="false" ht="15" hidden="false" customHeight="false" outlineLevel="0" collapsed="false">
      <c r="A117" s="16" t="s">
        <v>334</v>
      </c>
      <c r="B117" s="31" t="s">
        <v>335</v>
      </c>
      <c r="C117" s="16" t="s">
        <v>271</v>
      </c>
      <c r="D117" s="32" t="s">
        <v>796</v>
      </c>
      <c r="E117" s="32"/>
      <c r="F117" s="32"/>
      <c r="G117" s="32" t="s">
        <v>796</v>
      </c>
      <c r="H117" s="32" t="n">
        <v>1</v>
      </c>
      <c r="I117" s="32" t="n">
        <v>1</v>
      </c>
      <c r="J117" s="32" t="str">
        <f aca="false">IF($B$5="","",IF($B$5="ORD",D117,IF($B$5="CON",E117,IF($B$5="AGI",F117,G117))))</f>
        <v>P</v>
      </c>
      <c r="K117" s="32" t="n">
        <f aca="false">IF(OR(H117=0,I117=0,J117=""),0,IF(IF(J117="X",1,IF(J117="P",$B$6,IF(J117="C",$B$7,IF(J117="DR",$B$8,IF(J117="T",$B$9,0)))))=1,1,0))</f>
        <v>0</v>
      </c>
      <c r="L117" s="32" t="str">
        <f aca="false">IF(K117=0,"",IF(LEN(TRIM(Scheda_1!$D$102&amp;""))=0,"MANCANTE",IF(LEFT(LOWER(TRIM(Scheda_1!$D$102&amp;"")),7)="non not","NON NOTO","ok")))</f>
        <v/>
      </c>
    </row>
    <row r="118" customFormat="false" ht="15" hidden="false" customHeight="false" outlineLevel="0" collapsed="false">
      <c r="A118" s="16" t="s">
        <v>337</v>
      </c>
      <c r="B118" s="31" t="s">
        <v>338</v>
      </c>
      <c r="C118" s="16" t="s">
        <v>271</v>
      </c>
      <c r="D118" s="32" t="s">
        <v>796</v>
      </c>
      <c r="E118" s="32"/>
      <c r="F118" s="32"/>
      <c r="G118" s="32" t="s">
        <v>796</v>
      </c>
      <c r="H118" s="32" t="n">
        <v>1</v>
      </c>
      <c r="I118" s="32" t="n">
        <v>1</v>
      </c>
      <c r="J118" s="32" t="str">
        <f aca="false">IF($B$5="","",IF($B$5="ORD",D118,IF($B$5="CON",E118,IF($B$5="AGI",F118,G118))))</f>
        <v>P</v>
      </c>
      <c r="K118" s="32" t="n">
        <f aca="false">IF(OR(H118=0,I118=0,J118=""),0,IF(IF(J118="X",1,IF(J118="P",$B$6,IF(J118="C",$B$7,IF(J118="DR",$B$8,IF(J118="T",$B$9,0)))))=1,1,0))</f>
        <v>0</v>
      </c>
      <c r="L118" s="32" t="str">
        <f aca="false">IF(K118=0,"",IF(LEN(TRIM(Scheda_1!$D$103&amp;""))=0,"MANCANTE",IF(LEFT(LOWER(TRIM(Scheda_1!$D$103&amp;"")),7)="non not","NON NOTO","ok")))</f>
        <v/>
      </c>
    </row>
    <row r="119" customFormat="false" ht="15" hidden="false" customHeight="false" outlineLevel="0" collapsed="false">
      <c r="A119" s="16" t="s">
        <v>340</v>
      </c>
      <c r="B119" s="31" t="s">
        <v>341</v>
      </c>
      <c r="C119" s="16" t="s">
        <v>271</v>
      </c>
      <c r="D119" s="32" t="s">
        <v>796</v>
      </c>
      <c r="E119" s="32"/>
      <c r="F119" s="32"/>
      <c r="G119" s="32" t="s">
        <v>796</v>
      </c>
      <c r="H119" s="32" t="n">
        <v>1</v>
      </c>
      <c r="I119" s="32" t="n">
        <v>1</v>
      </c>
      <c r="J119" s="32" t="str">
        <f aca="false">IF($B$5="","",IF($B$5="ORD",D119,IF($B$5="CON",E119,IF($B$5="AGI",F119,G119))))</f>
        <v>P</v>
      </c>
      <c r="K119" s="32" t="n">
        <f aca="false">IF(OR(H119=0,I119=0,J119=""),0,IF(IF(J119="X",1,IF(J119="P",$B$6,IF(J119="C",$B$7,IF(J119="DR",$B$8,IF(J119="T",$B$9,0)))))=1,1,0))</f>
        <v>0</v>
      </c>
      <c r="L119" s="32" t="str">
        <f aca="false">IF(K119=0,"",IF(LEN(TRIM(Scheda_1!$D$104&amp;""))=0,"MANCANTE",IF(LEFT(LOWER(TRIM(Scheda_1!$D$104&amp;"")),7)="non not","NON NOTO","ok")))</f>
        <v/>
      </c>
    </row>
    <row r="120" customFormat="false" ht="15" hidden="false" customHeight="false" outlineLevel="0" collapsed="false">
      <c r="A120" s="16" t="s">
        <v>342</v>
      </c>
      <c r="B120" s="31" t="s">
        <v>343</v>
      </c>
      <c r="C120" s="16" t="s">
        <v>271</v>
      </c>
      <c r="D120" s="32" t="s">
        <v>796</v>
      </c>
      <c r="E120" s="32"/>
      <c r="F120" s="32"/>
      <c r="G120" s="32" t="s">
        <v>796</v>
      </c>
      <c r="H120" s="32" t="n">
        <v>1</v>
      </c>
      <c r="I120" s="32" t="n">
        <v>1</v>
      </c>
      <c r="J120" s="32" t="str">
        <f aca="false">IF($B$5="","",IF($B$5="ORD",D120,IF($B$5="CON",E120,IF($B$5="AGI",F120,G120))))</f>
        <v>P</v>
      </c>
      <c r="K120" s="32" t="n">
        <f aca="false">IF(OR(H120=0,I120=0,J120=""),0,IF(IF(J120="X",1,IF(J120="P",$B$6,IF(J120="C",$B$7,IF(J120="DR",$B$8,IF(J120="T",$B$9,0)))))=1,1,0))</f>
        <v>0</v>
      </c>
      <c r="L120" s="32" t="str">
        <f aca="false">IF(K120=0,"",IF(LEN(TRIM(Scheda_1!$D$105&amp;""))=0,"MANCANTE",IF(LEFT(LOWER(TRIM(Scheda_1!$D$105&amp;"")),7)="non not","NON NOTO","ok")))</f>
        <v/>
      </c>
    </row>
    <row r="121" customFormat="false" ht="15" hidden="false" customHeight="false" outlineLevel="0" collapsed="false">
      <c r="A121" s="16" t="s">
        <v>345</v>
      </c>
      <c r="B121" s="31" t="s">
        <v>346</v>
      </c>
      <c r="C121" s="16" t="s">
        <v>271</v>
      </c>
      <c r="D121" s="32" t="s">
        <v>796</v>
      </c>
      <c r="E121" s="32"/>
      <c r="F121" s="32"/>
      <c r="G121" s="32" t="s">
        <v>796</v>
      </c>
      <c r="H121" s="32" t="n">
        <v>1</v>
      </c>
      <c r="I121" s="32" t="n">
        <v>1</v>
      </c>
      <c r="J121" s="32" t="str">
        <f aca="false">IF($B$5="","",IF($B$5="ORD",D121,IF($B$5="CON",E121,IF($B$5="AGI",F121,G121))))</f>
        <v>P</v>
      </c>
      <c r="K121" s="32" t="n">
        <f aca="false">IF(OR(H121=0,I121=0,J121=""),0,IF(IF(J121="X",1,IF(J121="P",$B$6,IF(J121="C",$B$7,IF(J121="DR",$B$8,IF(J121="T",$B$9,0)))))=1,1,0))</f>
        <v>0</v>
      </c>
      <c r="L121" s="32" t="str">
        <f aca="false">IF(K121=0,"",IF(LEN(TRIM(Scheda_1!$D$106&amp;""))=0,"MANCANTE",IF(LEFT(LOWER(TRIM(Scheda_1!$D$106&amp;"")),7)="non not","NON NOTO","ok")))</f>
        <v/>
      </c>
    </row>
    <row r="122" customFormat="false" ht="15" hidden="false" customHeight="false" outlineLevel="0" collapsed="false">
      <c r="A122" s="16" t="s">
        <v>348</v>
      </c>
      <c r="B122" s="31" t="s">
        <v>349</v>
      </c>
      <c r="C122" s="16" t="s">
        <v>271</v>
      </c>
      <c r="D122" s="32" t="s">
        <v>796</v>
      </c>
      <c r="E122" s="32"/>
      <c r="F122" s="32"/>
      <c r="G122" s="32" t="s">
        <v>796</v>
      </c>
      <c r="H122" s="32" t="n">
        <v>1</v>
      </c>
      <c r="I122" s="32" t="n">
        <f aca="false">IF(Scheda_1!$D$106="No",1,0)</f>
        <v>0</v>
      </c>
      <c r="J122" s="32" t="str">
        <f aca="false">IF($B$5="","",IF($B$5="ORD",D122,IF($B$5="CON",E122,IF($B$5="AGI",F122,G122))))</f>
        <v>P</v>
      </c>
      <c r="K122" s="32" t="n">
        <f aca="false">IF(OR(H122=0,I122=0,J122=""),0,IF(IF(J122="X",1,IF(J122="P",$B$6,IF(J122="C",$B$7,IF(J122="DR",$B$8,IF(J122="T",$B$9,0)))))=1,1,0))</f>
        <v>0</v>
      </c>
      <c r="L122" s="32" t="str">
        <f aca="false">IF(K122=0,"",IF(LEN(TRIM(Scheda_1!$D$107&amp;""))=0,"MANCANTE",IF(LEFT(LOWER(TRIM(Scheda_1!$D$107&amp;"")),7)="non not","NON NOTO","ok")))</f>
        <v/>
      </c>
    </row>
    <row r="123" customFormat="false" ht="15" hidden="false" customHeight="false" outlineLevel="0" collapsed="false">
      <c r="A123" s="16" t="s">
        <v>352</v>
      </c>
      <c r="B123" s="31" t="s">
        <v>353</v>
      </c>
      <c r="C123" s="16" t="s">
        <v>271</v>
      </c>
      <c r="D123" s="32" t="s">
        <v>796</v>
      </c>
      <c r="E123" s="32"/>
      <c r="F123" s="32"/>
      <c r="G123" s="32" t="s">
        <v>796</v>
      </c>
      <c r="H123" s="32" t="n">
        <v>1</v>
      </c>
      <c r="I123" s="32" t="n">
        <f aca="false">IF(Scheda_1!$D$106="No",1,0)</f>
        <v>0</v>
      </c>
      <c r="J123" s="32" t="str">
        <f aca="false">IF($B$5="","",IF($B$5="ORD",D123,IF($B$5="CON",E123,IF($B$5="AGI",F123,G123))))</f>
        <v>P</v>
      </c>
      <c r="K123" s="32" t="n">
        <f aca="false">IF(OR(H123=0,I123=0,J123=""),0,IF(IF(J123="X",1,IF(J123="P",$B$6,IF(J123="C",$B$7,IF(J123="DR",$B$8,IF(J123="T",$B$9,0)))))=1,1,0))</f>
        <v>0</v>
      </c>
      <c r="L123" s="32" t="str">
        <f aca="false">IF(K123=0,"",IF(LEN(TRIM(Scheda_1!$D$108&amp;""))=0,"MANCANTE",IF(LEFT(LOWER(TRIM(Scheda_1!$D$108&amp;"")),7)="non not","NON NOTO","ok")))</f>
        <v/>
      </c>
    </row>
    <row r="124" customFormat="false" ht="15" hidden="false" customHeight="false" outlineLevel="0" collapsed="false">
      <c r="A124" s="16" t="s">
        <v>355</v>
      </c>
      <c r="B124" s="31" t="s">
        <v>356</v>
      </c>
      <c r="C124" s="16" t="s">
        <v>271</v>
      </c>
      <c r="D124" s="32" t="s">
        <v>796</v>
      </c>
      <c r="E124" s="32"/>
      <c r="F124" s="32"/>
      <c r="G124" s="32" t="s">
        <v>796</v>
      </c>
      <c r="H124" s="32" t="n">
        <v>1</v>
      </c>
      <c r="I124" s="32" t="n">
        <v>1</v>
      </c>
      <c r="J124" s="32" t="str">
        <f aca="false">IF($B$5="","",IF($B$5="ORD",D124,IF($B$5="CON",E124,IF($B$5="AGI",F124,G124))))</f>
        <v>P</v>
      </c>
      <c r="K124" s="32" t="n">
        <f aca="false">IF(OR(H124=0,I124=0,J124=""),0,IF(IF(J124="X",1,IF(J124="P",$B$6,IF(J124="C",$B$7,IF(J124="DR",$B$8,IF(J124="T",$B$9,0)))))=1,1,0))</f>
        <v>0</v>
      </c>
      <c r="L124" s="32" t="str">
        <f aca="false">IF(K124=0,"",IF(LEN(TRIM(Scheda_1!$D$109&amp;""))=0,"MANCANTE",IF(LEFT(LOWER(TRIM(Scheda_1!$D$109&amp;"")),7)="non not","NON NOTO","ok")))</f>
        <v/>
      </c>
    </row>
    <row r="125" customFormat="false" ht="15" hidden="false" customHeight="false" outlineLevel="0" collapsed="false">
      <c r="A125" s="16" t="s">
        <v>358</v>
      </c>
      <c r="B125" s="31" t="s">
        <v>359</v>
      </c>
      <c r="C125" s="16" t="s">
        <v>271</v>
      </c>
      <c r="D125" s="32" t="s">
        <v>796</v>
      </c>
      <c r="E125" s="32"/>
      <c r="F125" s="32"/>
      <c r="G125" s="32" t="s">
        <v>796</v>
      </c>
      <c r="H125" s="32" t="n">
        <v>1</v>
      </c>
      <c r="I125" s="32" t="n">
        <v>1</v>
      </c>
      <c r="J125" s="32" t="str">
        <f aca="false">IF($B$5="","",IF($B$5="ORD",D125,IF($B$5="CON",E125,IF($B$5="AGI",F125,G125))))</f>
        <v>P</v>
      </c>
      <c r="K125" s="32" t="n">
        <f aca="false">IF(OR(H125=0,I125=0,J125=""),0,IF(IF(J125="X",1,IF(J125="P",$B$6,IF(J125="C",$B$7,IF(J125="DR",$B$8,IF(J125="T",$B$9,0)))))=1,1,0))</f>
        <v>0</v>
      </c>
      <c r="L125" s="32" t="str">
        <f aca="false">IF(K125=0,"",IF(LEN(TRIM(Scheda_1!$D$110&amp;""))=0,"MANCANTE",IF(LEFT(LOWER(TRIM(Scheda_1!$D$110&amp;"")),7)="non not","NON NOTO","ok")))</f>
        <v/>
      </c>
    </row>
    <row r="126" customFormat="false" ht="15" hidden="false" customHeight="false" outlineLevel="0" collapsed="false">
      <c r="A126" s="16" t="s">
        <v>361</v>
      </c>
      <c r="B126" s="31" t="s">
        <v>362</v>
      </c>
      <c r="C126" s="16" t="s">
        <v>271</v>
      </c>
      <c r="D126" s="32" t="s">
        <v>796</v>
      </c>
      <c r="E126" s="32"/>
      <c r="F126" s="32"/>
      <c r="G126" s="32" t="s">
        <v>796</v>
      </c>
      <c r="H126" s="32" t="n">
        <v>1</v>
      </c>
      <c r="I126" s="32" t="n">
        <v>1</v>
      </c>
      <c r="J126" s="32" t="str">
        <f aca="false">IF($B$5="","",IF($B$5="ORD",D126,IF($B$5="CON",E126,IF($B$5="AGI",F126,G126))))</f>
        <v>P</v>
      </c>
      <c r="K126" s="32" t="n">
        <f aca="false">IF(OR(H126=0,I126=0,J126=""),0,IF(IF(J126="X",1,IF(J126="P",$B$6,IF(J126="C",$B$7,IF(J126="DR",$B$8,IF(J126="T",$B$9,0)))))=1,1,0))</f>
        <v>0</v>
      </c>
      <c r="L126" s="32" t="str">
        <f aca="false">IF(K126=0,"",IF(LEN(TRIM(Scheda_1!$D$111&amp;""))=0,"MANCANTE",IF(LEFT(LOWER(TRIM(Scheda_1!$D$111&amp;"")),7)="non not","NON NOTO","ok")))</f>
        <v/>
      </c>
    </row>
    <row r="127" customFormat="false" ht="15" hidden="false" customHeight="false" outlineLevel="0" collapsed="false">
      <c r="A127" s="16" t="s">
        <v>364</v>
      </c>
      <c r="B127" s="31" t="s">
        <v>365</v>
      </c>
      <c r="C127" s="16" t="s">
        <v>271</v>
      </c>
      <c r="D127" s="32" t="s">
        <v>796</v>
      </c>
      <c r="E127" s="32"/>
      <c r="F127" s="32"/>
      <c r="G127" s="32" t="s">
        <v>796</v>
      </c>
      <c r="H127" s="32" t="n">
        <v>1</v>
      </c>
      <c r="I127" s="32" t="n">
        <v>1</v>
      </c>
      <c r="J127" s="32" t="str">
        <f aca="false">IF($B$5="","",IF($B$5="ORD",D127,IF($B$5="CON",E127,IF($B$5="AGI",F127,G127))))</f>
        <v>P</v>
      </c>
      <c r="K127" s="32" t="n">
        <f aca="false">IF(OR(H127=0,I127=0,J127=""),0,IF(IF(J127="X",1,IF(J127="P",$B$6,IF(J127="C",$B$7,IF(J127="DR",$B$8,IF(J127="T",$B$9,0)))))=1,1,0))</f>
        <v>0</v>
      </c>
      <c r="L127" s="32" t="str">
        <f aca="false">IF(K127=0,"",IF(LEN(TRIM(Scheda_1!$D$112&amp;""))=0,"MANCANTE",IF(LEFT(LOWER(TRIM(Scheda_1!$D$112&amp;"")),7)="non not","NON NOTO","ok")))</f>
        <v/>
      </c>
    </row>
    <row r="128" customFormat="false" ht="15" hidden="false" customHeight="false" outlineLevel="0" collapsed="false">
      <c r="A128" s="16" t="s">
        <v>366</v>
      </c>
      <c r="B128" s="31" t="s">
        <v>367</v>
      </c>
      <c r="C128" s="16" t="s">
        <v>271</v>
      </c>
      <c r="D128" s="32" t="s">
        <v>797</v>
      </c>
      <c r="E128" s="32"/>
      <c r="F128" s="32"/>
      <c r="G128" s="32" t="s">
        <v>797</v>
      </c>
      <c r="H128" s="32" t="n">
        <v>1</v>
      </c>
      <c r="I128" s="32" t="n">
        <v>1</v>
      </c>
      <c r="J128" s="32" t="str">
        <f aca="false">IF($B$5="","",IF($B$5="ORD",D128,IF($B$5="CON",E128,IF($B$5="AGI",F128,G128))))</f>
        <v>C</v>
      </c>
      <c r="K128" s="32" t="n">
        <f aca="false">IF(OR(H128=0,I128=0,J128=""),0,IF(IF(J128="X",1,IF(J128="P",$B$6,IF(J128="C",$B$7,IF(J128="DR",$B$8,IF(J128="T",$B$9,0)))))=1,1,0))</f>
        <v>1</v>
      </c>
      <c r="L128" s="32" t="str">
        <f aca="false">IF(K128=0,"",IF(LEN(TRIM(Scheda_1!$D$113&amp;""))=0,"MANCANTE",IF(LEFT(LOWER(TRIM(Scheda_1!$D$113&amp;"")),7)="non not","NON NOTO","ok")))</f>
        <v>ok</v>
      </c>
    </row>
    <row r="129" customFormat="false" ht="15" hidden="false" customHeight="false" outlineLevel="0" collapsed="false">
      <c r="A129" s="16" t="s">
        <v>369</v>
      </c>
      <c r="B129" s="31" t="s">
        <v>370</v>
      </c>
      <c r="C129" s="16" t="s">
        <v>271</v>
      </c>
      <c r="D129" s="32" t="s">
        <v>797</v>
      </c>
      <c r="E129" s="32"/>
      <c r="F129" s="32"/>
      <c r="G129" s="32" t="s">
        <v>797</v>
      </c>
      <c r="H129" s="32" t="n">
        <v>1</v>
      </c>
      <c r="I129" s="32" t="n">
        <v>1</v>
      </c>
      <c r="J129" s="32" t="str">
        <f aca="false">IF($B$5="","",IF($B$5="ORD",D129,IF($B$5="CON",E129,IF($B$5="AGI",F129,G129))))</f>
        <v>C</v>
      </c>
      <c r="K129" s="32" t="n">
        <f aca="false">IF(OR(H129=0,I129=0,J129=""),0,IF(IF(J129="X",1,IF(J129="P",$B$6,IF(J129="C",$B$7,IF(J129="DR",$B$8,IF(J129="T",$B$9,0)))))=1,1,0))</f>
        <v>1</v>
      </c>
      <c r="L129" s="32" t="str">
        <f aca="false">IF(K129=0,"",IF(LEN(TRIM(Scheda_1!$D$114&amp;""))=0,"MANCANTE",IF(LEFT(LOWER(TRIM(Scheda_1!$D$114&amp;"")),7)="non not","NON NOTO","ok")))</f>
        <v>ok</v>
      </c>
    </row>
    <row r="130" customFormat="false" ht="15" hidden="false" customHeight="false" outlineLevel="0" collapsed="false">
      <c r="A130" s="16" t="s">
        <v>373</v>
      </c>
      <c r="B130" s="31" t="s">
        <v>374</v>
      </c>
      <c r="C130" s="16" t="s">
        <v>271</v>
      </c>
      <c r="D130" s="32" t="s">
        <v>797</v>
      </c>
      <c r="E130" s="32"/>
      <c r="F130" s="32"/>
      <c r="G130" s="32" t="s">
        <v>797</v>
      </c>
      <c r="H130" s="32" t="n">
        <v>1</v>
      </c>
      <c r="I130" s="32" t="n">
        <f aca="false">IF(Scheda_1!$D$114="Fuori lotto",1,0)</f>
        <v>0</v>
      </c>
      <c r="J130" s="32" t="str">
        <f aca="false">IF($B$5="","",IF($B$5="ORD",D130,IF($B$5="CON",E130,IF($B$5="AGI",F130,G130))))</f>
        <v>C</v>
      </c>
      <c r="K130" s="32" t="n">
        <f aca="false">IF(OR(H130=0,I130=0,J130=""),0,IF(IF(J130="X",1,IF(J130="P",$B$6,IF(J130="C",$B$7,IF(J130="DR",$B$8,IF(J130="T",$B$9,0)))))=1,1,0))</f>
        <v>0</v>
      </c>
      <c r="L130" s="32" t="str">
        <f aca="false">IF(K130=0,"",IF(LEN(TRIM(Scheda_1!$D$115&amp;""))=0,"MANCANTE",IF(LEFT(LOWER(TRIM(Scheda_1!$D$115&amp;"")),7)="non not","NON NOTO","ok")))</f>
        <v/>
      </c>
    </row>
    <row r="131" customFormat="false" ht="15" hidden="false" customHeight="false" outlineLevel="0" collapsed="false">
      <c r="A131" s="16" t="s">
        <v>377</v>
      </c>
      <c r="B131" s="31" t="s">
        <v>378</v>
      </c>
      <c r="C131" s="16" t="s">
        <v>271</v>
      </c>
      <c r="D131" s="32" t="s">
        <v>797</v>
      </c>
      <c r="E131" s="32"/>
      <c r="F131" s="32"/>
      <c r="G131" s="32" t="s">
        <v>797</v>
      </c>
      <c r="H131" s="32" t="n">
        <v>1</v>
      </c>
      <c r="I131" s="32" t="n">
        <f aca="false">IF(AND(Scheda_1!$D$114&lt;&gt;"",Scheda_1!$D$114&lt;&gt;"Non previsti"),1,0)</f>
        <v>1</v>
      </c>
      <c r="J131" s="32" t="str">
        <f aca="false">IF($B$5="","",IF($B$5="ORD",D131,IF($B$5="CON",E131,IF($B$5="AGI",F131,G131))))</f>
        <v>C</v>
      </c>
      <c r="K131" s="32" t="n">
        <f aca="false">IF(OR(H131=0,I131=0,J131=""),0,IF(IF(J131="X",1,IF(J131="P",$B$6,IF(J131="C",$B$7,IF(J131="DR",$B$8,IF(J131="T",$B$9,0)))))=1,1,0))</f>
        <v>1</v>
      </c>
      <c r="L131" s="32" t="str">
        <f aca="false">IF(K131=0,"",IF(LEN(TRIM(Scheda_1!$D$116&amp;""))=0,"MANCANTE",IF(LEFT(LOWER(TRIM(Scheda_1!$D$116&amp;"")),7)="non not","NON NOTO","ok")))</f>
        <v>ok</v>
      </c>
    </row>
    <row r="132" customFormat="false" ht="15" hidden="false" customHeight="false" outlineLevel="0" collapsed="false">
      <c r="A132" s="16" t="s">
        <v>381</v>
      </c>
      <c r="B132" s="31" t="s">
        <v>382</v>
      </c>
      <c r="C132" s="16" t="s">
        <v>271</v>
      </c>
      <c r="D132" s="32" t="s">
        <v>797</v>
      </c>
      <c r="E132" s="32"/>
      <c r="F132" s="32"/>
      <c r="G132" s="32" t="s">
        <v>797</v>
      </c>
      <c r="H132" s="32" t="n">
        <v>1</v>
      </c>
      <c r="I132" s="32" t="n">
        <v>1</v>
      </c>
      <c r="J132" s="32" t="str">
        <f aca="false">IF($B$5="","",IF($B$5="ORD",D132,IF($B$5="CON",E132,IF($B$5="AGI",F132,G132))))</f>
        <v>C</v>
      </c>
      <c r="K132" s="32" t="n">
        <f aca="false">IF(OR(H132=0,I132=0,J132=""),0,IF(IF(J132="X",1,IF(J132="P",$B$6,IF(J132="C",$B$7,IF(J132="DR",$B$8,IF(J132="T",$B$9,0)))))=1,1,0))</f>
        <v>1</v>
      </c>
      <c r="L132" s="32" t="str">
        <f aca="false">IF(K132=0,"",IF(LEN(TRIM(Scheda_1!$D$117&amp;""))=0,"MANCANTE",IF(LEFT(LOWER(TRIM(Scheda_1!$D$117&amp;"")),7)="non not","NON NOTO","ok")))</f>
        <v>ok</v>
      </c>
    </row>
    <row r="133" customFormat="false" ht="15" hidden="false" customHeight="false" outlineLevel="0" collapsed="false">
      <c r="A133" s="16" t="s">
        <v>385</v>
      </c>
      <c r="B133" s="31" t="s">
        <v>386</v>
      </c>
      <c r="C133" s="16" t="s">
        <v>271</v>
      </c>
      <c r="D133" s="32" t="s">
        <v>797</v>
      </c>
      <c r="E133" s="32"/>
      <c r="F133" s="32"/>
      <c r="G133" s="32" t="s">
        <v>797</v>
      </c>
      <c r="H133" s="32" t="n">
        <v>1</v>
      </c>
      <c r="I133" s="32" t="n">
        <v>1</v>
      </c>
      <c r="J133" s="32" t="str">
        <f aca="false">IF($B$5="","",IF($B$5="ORD",D133,IF($B$5="CON",E133,IF($B$5="AGI",F133,G133))))</f>
        <v>C</v>
      </c>
      <c r="K133" s="32" t="n">
        <f aca="false">IF(OR(H133=0,I133=0,J133=""),0,IF(IF(J133="X",1,IF(J133="P",$B$6,IF(J133="C",$B$7,IF(J133="DR",$B$8,IF(J133="T",$B$9,0)))))=1,1,0))</f>
        <v>1</v>
      </c>
      <c r="L133" s="32" t="str">
        <f aca="false">IF(K133=0,"",IF(LEN(TRIM(Scheda_1!$D$118&amp;""))=0,"MANCANTE",IF(LEFT(LOWER(TRIM(Scheda_1!$D$118&amp;"")),7)="non not","NON NOTO","ok")))</f>
        <v>ok</v>
      </c>
    </row>
    <row r="134" customFormat="false" ht="15" hidden="false" customHeight="false" outlineLevel="0" collapsed="false">
      <c r="A134" s="16" t="s">
        <v>389</v>
      </c>
      <c r="B134" s="31" t="s">
        <v>390</v>
      </c>
      <c r="C134" s="16" t="s">
        <v>271</v>
      </c>
      <c r="D134" s="32" t="s">
        <v>797</v>
      </c>
      <c r="E134" s="32"/>
      <c r="F134" s="32"/>
      <c r="G134" s="32" t="s">
        <v>797</v>
      </c>
      <c r="H134" s="32" t="n">
        <v>1</v>
      </c>
      <c r="I134" s="32" t="n">
        <v>1</v>
      </c>
      <c r="J134" s="32" t="str">
        <f aca="false">IF($B$5="","",IF($B$5="ORD",D134,IF($B$5="CON",E134,IF($B$5="AGI",F134,G134))))</f>
        <v>C</v>
      </c>
      <c r="K134" s="32" t="n">
        <f aca="false">IF(OR(H134=0,I134=0,J134=""),0,IF(IF(J134="X",1,IF(J134="P",$B$6,IF(J134="C",$B$7,IF(J134="DR",$B$8,IF(J134="T",$B$9,0)))))=1,1,0))</f>
        <v>1</v>
      </c>
      <c r="L134" s="32" t="str">
        <f aca="false">IF(K134=0,"",IF(LEN(TRIM(Scheda_1!$D$119&amp;""))=0,"MANCANTE",IF(LEFT(LOWER(TRIM(Scheda_1!$D$119&amp;"")),7)="non not","NON NOTO","ok")))</f>
        <v>ok</v>
      </c>
    </row>
    <row r="135" customFormat="false" ht="15" hidden="false" customHeight="false" outlineLevel="0" collapsed="false">
      <c r="A135" s="16" t="s">
        <v>392</v>
      </c>
      <c r="B135" s="31" t="s">
        <v>393</v>
      </c>
      <c r="C135" s="16" t="s">
        <v>271</v>
      </c>
      <c r="D135" s="32" t="s">
        <v>796</v>
      </c>
      <c r="E135" s="32"/>
      <c r="F135" s="32"/>
      <c r="G135" s="32" t="s">
        <v>796</v>
      </c>
      <c r="H135" s="32" t="n">
        <v>1</v>
      </c>
      <c r="I135" s="32" t="n">
        <v>1</v>
      </c>
      <c r="J135" s="32" t="str">
        <f aca="false">IF($B$5="","",IF($B$5="ORD",D135,IF($B$5="CON",E135,IF($B$5="AGI",F135,G135))))</f>
        <v>P</v>
      </c>
      <c r="K135" s="32" t="n">
        <f aca="false">IF(OR(H135=0,I135=0,J135=""),0,IF(IF(J135="X",1,IF(J135="P",$B$6,IF(J135="C",$B$7,IF(J135="DR",$B$8,IF(J135="T",$B$9,0)))))=1,1,0))</f>
        <v>0</v>
      </c>
      <c r="L135" s="32" t="str">
        <f aca="false">IF(K135=0,"",IF(LEN(TRIM(Scheda_1!$D$120&amp;""))=0,"MANCANTE",IF(LEFT(LOWER(TRIM(Scheda_1!$D$120&amp;"")),7)="non not","NON NOTO","ok")))</f>
        <v/>
      </c>
    </row>
    <row r="136" customFormat="false" ht="15" hidden="false" customHeight="false" outlineLevel="0" collapsed="false">
      <c r="A136" s="16" t="s">
        <v>394</v>
      </c>
      <c r="B136" s="31" t="s">
        <v>395</v>
      </c>
      <c r="C136" s="16" t="s">
        <v>271</v>
      </c>
      <c r="D136" s="32" t="s">
        <v>796</v>
      </c>
      <c r="E136" s="32"/>
      <c r="F136" s="32"/>
      <c r="G136" s="32" t="s">
        <v>796</v>
      </c>
      <c r="H136" s="32" t="n">
        <v>1</v>
      </c>
      <c r="I136" s="32" t="n">
        <v>1</v>
      </c>
      <c r="J136" s="32" t="str">
        <f aca="false">IF($B$5="","",IF($B$5="ORD",D136,IF($B$5="CON",E136,IF($B$5="AGI",F136,G136))))</f>
        <v>P</v>
      </c>
      <c r="K136" s="32" t="n">
        <f aca="false">IF(OR(H136=0,I136=0,J136=""),0,IF(IF(J136="X",1,IF(J136="P",$B$6,IF(J136="C",$B$7,IF(J136="DR",$B$8,IF(J136="T",$B$9,0)))))=1,1,0))</f>
        <v>0</v>
      </c>
      <c r="L136" s="32" t="str">
        <f aca="false">IF(K136=0,"",IF(LEN(TRIM(Scheda_1!$D$121&amp;""))=0,"MANCANTE",IF(LEFT(LOWER(TRIM(Scheda_1!$D$121&amp;"")),7)="non not","NON NOTO","ok")))</f>
        <v/>
      </c>
    </row>
    <row r="137" customFormat="false" ht="15" hidden="false" customHeight="false" outlineLevel="0" collapsed="false">
      <c r="A137" s="16" t="s">
        <v>396</v>
      </c>
      <c r="B137" s="31" t="s">
        <v>397</v>
      </c>
      <c r="C137" s="16" t="s">
        <v>271</v>
      </c>
      <c r="D137" s="32" t="s">
        <v>798</v>
      </c>
      <c r="E137" s="32"/>
      <c r="F137" s="32"/>
      <c r="G137" s="32" t="s">
        <v>798</v>
      </c>
      <c r="H137" s="32" t="n">
        <v>1</v>
      </c>
      <c r="I137" s="32" t="n">
        <v>1</v>
      </c>
      <c r="J137" s="32" t="str">
        <f aca="false">IF($B$5="","",IF($B$5="ORD",D137,IF($B$5="CON",E137,IF($B$5="AGI",F137,G137))))</f>
        <v>DR</v>
      </c>
      <c r="K137" s="32" t="n">
        <f aca="false">IF(OR(H137=0,I137=0,J137=""),0,IF(IF(J137="X",1,IF(J137="P",$B$6,IF(J137="C",$B$7,IF(J137="DR",$B$8,IF(J137="T",$B$9,0)))))=1,1,0))</f>
        <v>0</v>
      </c>
      <c r="L137" s="32" t="str">
        <f aca="false">IF(K137=0,"",IF(LEN(TRIM(Scheda_1!$D$122&amp;""))=0,"MANCANTE",IF(LEFT(LOWER(TRIM(Scheda_1!$D$122&amp;"")),7)="non not","NON NOTO","ok")))</f>
        <v/>
      </c>
    </row>
    <row r="138" customFormat="false" ht="15" hidden="false" customHeight="false" outlineLevel="0" collapsed="false">
      <c r="A138" s="16" t="s">
        <v>400</v>
      </c>
      <c r="B138" s="31" t="s">
        <v>401</v>
      </c>
      <c r="C138" s="16" t="s">
        <v>271</v>
      </c>
      <c r="D138" s="32" t="s">
        <v>799</v>
      </c>
      <c r="E138" s="32"/>
      <c r="F138" s="32"/>
      <c r="G138" s="32" t="s">
        <v>799</v>
      </c>
      <c r="H138" s="32" t="n">
        <v>1</v>
      </c>
      <c r="I138" s="32" t="n">
        <v>1</v>
      </c>
      <c r="J138" s="32" t="str">
        <f aca="false">IF($B$5="","",IF($B$5="ORD",D138,IF($B$5="CON",E138,IF($B$5="AGI",F138,G138))))</f>
        <v>T</v>
      </c>
      <c r="K138" s="32" t="n">
        <f aca="false">IF(OR(H138=0,I138=0,J138=""),0,IF(IF(J138="X",1,IF(J138="P",$B$6,IF(J138="C",$B$7,IF(J138="DR",$B$8,IF(J138="T",$B$9,0)))))=1,1,0))</f>
        <v>0</v>
      </c>
      <c r="L138" s="32" t="str">
        <f aca="false">IF(K138=0,"",IF(LEN(TRIM(Scheda_1!$D$123&amp;""))=0,"MANCANTE",IF(LEFT(LOWER(TRIM(Scheda_1!$D$123&amp;"")),7)="non not","NON NOTO","ok")))</f>
        <v/>
      </c>
    </row>
    <row r="139" customFormat="false" ht="15" hidden="false" customHeight="false" outlineLevel="0" collapsed="false">
      <c r="A139" s="16" t="s">
        <v>404</v>
      </c>
      <c r="B139" s="31" t="s">
        <v>405</v>
      </c>
      <c r="C139" s="16" t="s">
        <v>271</v>
      </c>
      <c r="D139" s="32" t="s">
        <v>799</v>
      </c>
      <c r="E139" s="32"/>
      <c r="F139" s="32"/>
      <c r="G139" s="32" t="s">
        <v>799</v>
      </c>
      <c r="H139" s="32" t="n">
        <v>1</v>
      </c>
      <c r="I139" s="32" t="n">
        <v>1</v>
      </c>
      <c r="J139" s="32" t="str">
        <f aca="false">IF($B$5="","",IF($B$5="ORD",D139,IF($B$5="CON",E139,IF($B$5="AGI",F139,G139))))</f>
        <v>T</v>
      </c>
      <c r="K139" s="32" t="n">
        <f aca="false">IF(OR(H139=0,I139=0,J139=""),0,IF(IF(J139="X",1,IF(J139="P",$B$6,IF(J139="C",$B$7,IF(J139="DR",$B$8,IF(J139="T",$B$9,0)))))=1,1,0))</f>
        <v>0</v>
      </c>
      <c r="L139" s="32" t="str">
        <f aca="false">IF(K139=0,"",IF(LEN(TRIM(Scheda_1!$D$124&amp;""))=0,"MANCANTE",IF(LEFT(LOWER(TRIM(Scheda_1!$D$124&amp;"")),7)="non not","NON NOTO","ok")))</f>
        <v/>
      </c>
    </row>
    <row r="140" customFormat="false" ht="15" hidden="false" customHeight="false" outlineLevel="0" collapsed="false">
      <c r="A140" s="16" t="s">
        <v>406</v>
      </c>
      <c r="B140" s="31" t="s">
        <v>407</v>
      </c>
      <c r="C140" s="16" t="s">
        <v>271</v>
      </c>
      <c r="D140" s="32" t="s">
        <v>799</v>
      </c>
      <c r="E140" s="32"/>
      <c r="F140" s="32"/>
      <c r="G140" s="32" t="s">
        <v>799</v>
      </c>
      <c r="H140" s="32" t="n">
        <v>1</v>
      </c>
      <c r="I140" s="32" t="n">
        <v>1</v>
      </c>
      <c r="J140" s="32" t="str">
        <f aca="false">IF($B$5="","",IF($B$5="ORD",D140,IF($B$5="CON",E140,IF($B$5="AGI",F140,G140))))</f>
        <v>T</v>
      </c>
      <c r="K140" s="32" t="n">
        <f aca="false">IF(OR(H140=0,I140=0,J140=""),0,IF(IF(J140="X",1,IF(J140="P",$B$6,IF(J140="C",$B$7,IF(J140="DR",$B$8,IF(J140="T",$B$9,0)))))=1,1,0))</f>
        <v>0</v>
      </c>
      <c r="L140" s="32" t="str">
        <f aca="false">IF(K140=0,"",IF(LEN(TRIM(Scheda_1!$D$125&amp;""))=0,"MANCANTE",IF(LEFT(LOWER(TRIM(Scheda_1!$D$125&amp;"")),7)="non not","NON NOTO","ok")))</f>
        <v/>
      </c>
    </row>
    <row r="141" customFormat="false" ht="15" hidden="false" customHeight="false" outlineLevel="0" collapsed="false">
      <c r="A141" s="16" t="s">
        <v>408</v>
      </c>
      <c r="B141" s="31" t="s">
        <v>409</v>
      </c>
      <c r="C141" s="16" t="s">
        <v>271</v>
      </c>
      <c r="D141" s="32" t="s">
        <v>799</v>
      </c>
      <c r="E141" s="32"/>
      <c r="F141" s="32"/>
      <c r="G141" s="32" t="s">
        <v>799</v>
      </c>
      <c r="H141" s="32" t="n">
        <v>1</v>
      </c>
      <c r="I141" s="32" t="n">
        <v>1</v>
      </c>
      <c r="J141" s="32" t="str">
        <f aca="false">IF($B$5="","",IF($B$5="ORD",D141,IF($B$5="CON",E141,IF($B$5="AGI",F141,G141))))</f>
        <v>T</v>
      </c>
      <c r="K141" s="32" t="n">
        <f aca="false">IF(OR(H141=0,I141=0,J141=""),0,IF(IF(J141="X",1,IF(J141="P",$B$6,IF(J141="C",$B$7,IF(J141="DR",$B$8,IF(J141="T",$B$9,0)))))=1,1,0))</f>
        <v>0</v>
      </c>
      <c r="L141" s="32" t="str">
        <f aca="false">IF(K141=0,"",IF(LEN(TRIM(Scheda_1!$D$126&amp;""))=0,"MANCANTE",IF(LEFT(LOWER(TRIM(Scheda_1!$D$126&amp;"")),7)="non not","NON NOTO","ok")))</f>
        <v/>
      </c>
    </row>
    <row r="142" customFormat="false" ht="15" hidden="false" customHeight="false" outlineLevel="0" collapsed="false">
      <c r="A142" s="16" t="s">
        <v>410</v>
      </c>
      <c r="B142" s="31" t="s">
        <v>411</v>
      </c>
      <c r="C142" s="16" t="s">
        <v>271</v>
      </c>
      <c r="D142" s="32" t="s">
        <v>799</v>
      </c>
      <c r="E142" s="32"/>
      <c r="F142" s="32"/>
      <c r="G142" s="32" t="s">
        <v>799</v>
      </c>
      <c r="H142" s="32" t="n">
        <v>1</v>
      </c>
      <c r="I142" s="32" t="n">
        <v>1</v>
      </c>
      <c r="J142" s="32" t="str">
        <f aca="false">IF($B$5="","",IF($B$5="ORD",D142,IF($B$5="CON",E142,IF($B$5="AGI",F142,G142))))</f>
        <v>T</v>
      </c>
      <c r="K142" s="32" t="n">
        <f aca="false">IF(OR(H142=0,I142=0,J142=""),0,IF(IF(J142="X",1,IF(J142="P",$B$6,IF(J142="C",$B$7,IF(J142="DR",$B$8,IF(J142="T",$B$9,0)))))=1,1,0))</f>
        <v>0</v>
      </c>
      <c r="L142" s="32" t="str">
        <f aca="false">IF(K142=0,"",IF(LEN(TRIM(Scheda_1!$D$127&amp;""))=0,"MANCANTE",IF(LEFT(LOWER(TRIM(Scheda_1!$D$127&amp;"")),7)="non not","NON NOTO","ok")))</f>
        <v/>
      </c>
    </row>
    <row r="143" customFormat="false" ht="15" hidden="false" customHeight="false" outlineLevel="0" collapsed="false">
      <c r="A143" s="16" t="s">
        <v>413</v>
      </c>
      <c r="B143" s="31" t="s">
        <v>415</v>
      </c>
      <c r="C143" s="16" t="s">
        <v>414</v>
      </c>
      <c r="D143" s="32" t="s">
        <v>796</v>
      </c>
      <c r="E143" s="32" t="s">
        <v>795</v>
      </c>
      <c r="F143" s="32" t="s">
        <v>795</v>
      </c>
      <c r="G143" s="32" t="s">
        <v>795</v>
      </c>
      <c r="H143" s="32" t="n">
        <v>1</v>
      </c>
      <c r="I143" s="32" t="n">
        <v>1</v>
      </c>
      <c r="J143" s="32" t="str">
        <f aca="false">IF($B$5="","",IF($B$5="ORD",D143,IF($B$5="CON",E143,IF($B$5="AGI",F143,G143))))</f>
        <v>P</v>
      </c>
      <c r="K143" s="32" t="n">
        <f aca="false">IF(OR(H143=0,I143=0,J143=""),0,IF(IF(J143="X",1,IF(J143="P",$B$6,IF(J143="C",$B$7,IF(J143="DR",$B$8,IF(J143="T",$B$9,0)))))=1,1,0))</f>
        <v>0</v>
      </c>
      <c r="L143" s="32" t="str">
        <f aca="false">IF(K143=0,"",IF(LEN(TRIM(Scheda_1!$D$129&amp;""))=0,"MANCANTE",IF(LEFT(LOWER(TRIM(Scheda_1!$D$129&amp;"")),7)="non not","NON NOTO","ok")))</f>
        <v/>
      </c>
    </row>
    <row r="144" customFormat="false" ht="15" hidden="false" customHeight="false" outlineLevel="0" collapsed="false">
      <c r="A144" s="16" t="s">
        <v>419</v>
      </c>
      <c r="B144" s="31" t="s">
        <v>420</v>
      </c>
      <c r="C144" s="16" t="s">
        <v>414</v>
      </c>
      <c r="D144" s="32"/>
      <c r="E144" s="32"/>
      <c r="F144" s="32" t="s">
        <v>795</v>
      </c>
      <c r="G144" s="32" t="s">
        <v>795</v>
      </c>
      <c r="H144" s="32" t="n">
        <v>1</v>
      </c>
      <c r="I144" s="32" t="n">
        <f aca="false">IF(Scheda_1!$D$129="Acquisita",1,0)</f>
        <v>0</v>
      </c>
      <c r="J144" s="32" t="n">
        <f aca="false">IF($B$5="","",IF($B$5="ORD",D144,IF($B$5="CON",E144,IF($B$5="AGI",F144,G144))))</f>
        <v>0</v>
      </c>
      <c r="K144" s="32" t="n">
        <f aca="false">IF(OR(H144=0,I144=0,J144=""),0,IF(IF(J144="X",1,IF(J144="P",$B$6,IF(J144="C",$B$7,IF(J144="DR",$B$8,IF(J144="T",$B$9,0)))))=1,1,0))</f>
        <v>0</v>
      </c>
      <c r="L144" s="32" t="str">
        <f aca="false">IF(K144=0,"",IF(LEN(TRIM(Scheda_1!$D$130&amp;""))=0,"MANCANTE",IF(LEFT(LOWER(TRIM(Scheda_1!$D$130&amp;"")),7)="non not","NON NOTO","ok")))</f>
        <v/>
      </c>
    </row>
    <row r="145" customFormat="false" ht="15" hidden="false" customHeight="false" outlineLevel="0" collapsed="false">
      <c r="A145" s="16" t="s">
        <v>422</v>
      </c>
      <c r="B145" s="31" t="s">
        <v>423</v>
      </c>
      <c r="C145" s="16" t="s">
        <v>414</v>
      </c>
      <c r="D145" s="32"/>
      <c r="E145" s="32"/>
      <c r="F145" s="32" t="s">
        <v>795</v>
      </c>
      <c r="G145" s="32" t="s">
        <v>795</v>
      </c>
      <c r="H145" s="32" t="n">
        <v>1</v>
      </c>
      <c r="I145" s="32" t="n">
        <f aca="false">IF(Scheda_1!$D$130="Sì",1,0)</f>
        <v>0</v>
      </c>
      <c r="J145" s="32" t="n">
        <f aca="false">IF($B$5="","",IF($B$5="ORD",D145,IF($B$5="CON",E145,IF($B$5="AGI",F145,G145))))</f>
        <v>0</v>
      </c>
      <c r="K145" s="32" t="n">
        <f aca="false">IF(OR(H145=0,I145=0,J145=""),0,IF(IF(J145="X",1,IF(J145="P",$B$6,IF(J145="C",$B$7,IF(J145="DR",$B$8,IF(J145="T",$B$9,0)))))=1,1,0))</f>
        <v>0</v>
      </c>
      <c r="L145" s="32" t="str">
        <f aca="false">IF(K145=0,"",IF(LEN(TRIM(Scheda_1!$D$131&amp;""))=0,"MANCANTE",IF(LEFT(LOWER(TRIM(Scheda_1!$D$131&amp;"")),7)="non not","NON NOTO","ok")))</f>
        <v/>
      </c>
    </row>
    <row r="146" customFormat="false" ht="15" hidden="false" customHeight="false" outlineLevel="0" collapsed="false">
      <c r="A146" s="16" t="s">
        <v>425</v>
      </c>
      <c r="B146" s="31" t="s">
        <v>426</v>
      </c>
      <c r="C146" s="16" t="s">
        <v>414</v>
      </c>
      <c r="D146" s="32" t="s">
        <v>795</v>
      </c>
      <c r="E146" s="32" t="s">
        <v>795</v>
      </c>
      <c r="F146" s="32"/>
      <c r="G146" s="32" t="s">
        <v>795</v>
      </c>
      <c r="H146" s="32" t="n">
        <v>1</v>
      </c>
      <c r="I146" s="32" t="n">
        <f aca="false">IF(AND(Scheda_1!$D$31&lt;&gt;"",Scheda_1!$D$31&lt;&gt;"Fuori"),1,0)</f>
        <v>0</v>
      </c>
      <c r="J146" s="32" t="str">
        <f aca="false">IF($B$5="","",IF($B$5="ORD",D146,IF($B$5="CON",E146,IF($B$5="AGI",F146,G146))))</f>
        <v>X</v>
      </c>
      <c r="K146" s="32" t="n">
        <f aca="false">IF(OR(H146=0,I146=0,J146=""),0,IF(IF(J146="X",1,IF(J146="P",$B$6,IF(J146="C",$B$7,IF(J146="DR",$B$8,IF(J146="T",$B$9,0)))))=1,1,0))</f>
        <v>0</v>
      </c>
      <c r="L146" s="32" t="str">
        <f aca="false">IF(K146=0,"",IF(LEN(TRIM(Scheda_1!$D$132&amp;""))=0,"MANCANTE",IF(LEFT(LOWER(TRIM(Scheda_1!$D$132&amp;"")),7)="non not","NON NOTO","ok")))</f>
        <v/>
      </c>
    </row>
    <row r="147" customFormat="false" ht="15" hidden="false" customHeight="false" outlineLevel="0" collapsed="false">
      <c r="A147" s="16" t="s">
        <v>429</v>
      </c>
      <c r="B147" s="31" t="s">
        <v>430</v>
      </c>
      <c r="C147" s="16" t="s">
        <v>414</v>
      </c>
      <c r="D147" s="32" t="s">
        <v>795</v>
      </c>
      <c r="E147" s="32" t="s">
        <v>795</v>
      </c>
      <c r="F147" s="32"/>
      <c r="G147" s="32" t="s">
        <v>795</v>
      </c>
      <c r="H147" s="32" t="n">
        <v>1</v>
      </c>
      <c r="I147" s="32" t="n">
        <f aca="false">IF(Scheda_1!$D$35="Sì",1,0)</f>
        <v>0</v>
      </c>
      <c r="J147" s="32" t="str">
        <f aca="false">IF($B$5="","",IF($B$5="ORD",D147,IF($B$5="CON",E147,IF($B$5="AGI",F147,G147))))</f>
        <v>X</v>
      </c>
      <c r="K147" s="32" t="n">
        <f aca="false">IF(OR(H147=0,I147=0,J147=""),0,IF(IF(J147="X",1,IF(J147="P",$B$6,IF(J147="C",$B$7,IF(J147="DR",$B$8,IF(J147="T",$B$9,0)))))=1,1,0))</f>
        <v>0</v>
      </c>
      <c r="L147" s="32" t="str">
        <f aca="false">IF(K147=0,"",IF(LEN(TRIM(Scheda_1!$D$133&amp;""))=0,"MANCANTE",IF(LEFT(LOWER(TRIM(Scheda_1!$D$133&amp;"")),7)="non not","NON NOTO","ok")))</f>
        <v/>
      </c>
    </row>
    <row r="148" customFormat="false" ht="15" hidden="false" customHeight="false" outlineLevel="0" collapsed="false">
      <c r="A148" s="16" t="s">
        <v>433</v>
      </c>
      <c r="B148" s="31" t="s">
        <v>434</v>
      </c>
      <c r="C148" s="16" t="s">
        <v>414</v>
      </c>
      <c r="D148" s="32" t="s">
        <v>795</v>
      </c>
      <c r="E148" s="32" t="s">
        <v>795</v>
      </c>
      <c r="F148" s="32"/>
      <c r="G148" s="32" t="s">
        <v>795</v>
      </c>
      <c r="H148" s="32" t="n">
        <v>1</v>
      </c>
      <c r="I148" s="32" t="n">
        <f aca="false">IF(Scheda_1!$D$32="Sì",1,0)</f>
        <v>0</v>
      </c>
      <c r="J148" s="32" t="str">
        <f aca="false">IF($B$5="","",IF($B$5="ORD",D148,IF($B$5="CON",E148,IF($B$5="AGI",F148,G148))))</f>
        <v>X</v>
      </c>
      <c r="K148" s="32" t="n">
        <f aca="false">IF(OR(H148=0,I148=0,J148=""),0,IF(IF(J148="X",1,IF(J148="P",$B$6,IF(J148="C",$B$7,IF(J148="DR",$B$8,IF(J148="T",$B$9,0)))))=1,1,0))</f>
        <v>0</v>
      </c>
      <c r="L148" s="32" t="str">
        <f aca="false">IF(K148=0,"",IF(LEN(TRIM(Scheda_1!$D$134&amp;""))=0,"MANCANTE",IF(LEFT(LOWER(TRIM(Scheda_1!$D$134&amp;"")),7)="non not","NON NOTO","ok")))</f>
        <v/>
      </c>
    </row>
    <row r="149" customFormat="false" ht="15" hidden="false" customHeight="false" outlineLevel="0" collapsed="false">
      <c r="A149" s="16" t="s">
        <v>437</v>
      </c>
      <c r="B149" s="31" t="s">
        <v>438</v>
      </c>
      <c r="C149" s="16" t="s">
        <v>414</v>
      </c>
      <c r="D149" s="32" t="s">
        <v>795</v>
      </c>
      <c r="E149" s="32"/>
      <c r="F149" s="32" t="s">
        <v>795</v>
      </c>
      <c r="G149" s="32" t="s">
        <v>795</v>
      </c>
      <c r="H149" s="32" t="n">
        <v>1</v>
      </c>
      <c r="I149" s="32" t="n">
        <f aca="false">IF(Scheda_1!$D$52="Sì",1,0)</f>
        <v>0</v>
      </c>
      <c r="J149" s="32" t="str">
        <f aca="false">IF($B$5="","",IF($B$5="ORD",D149,IF($B$5="CON",E149,IF($B$5="AGI",F149,G149))))</f>
        <v>X</v>
      </c>
      <c r="K149" s="32" t="n">
        <f aca="false">IF(OR(H149=0,I149=0,J149=""),0,IF(IF(J149="X",1,IF(J149="P",$B$6,IF(J149="C",$B$7,IF(J149="DR",$B$8,IF(J149="T",$B$9,0)))))=1,1,0))</f>
        <v>0</v>
      </c>
      <c r="L149" s="32" t="str">
        <f aca="false">IF(K149=0,"",IF(LEN(TRIM(Scheda_1!$D$135&amp;""))=0,"MANCANTE",IF(LEFT(LOWER(TRIM(Scheda_1!$D$135&amp;"")),7)="non not","NON NOTO","ok")))</f>
        <v/>
      </c>
    </row>
    <row r="150" customFormat="false" ht="15" hidden="false" customHeight="false" outlineLevel="0" collapsed="false">
      <c r="A150" s="16" t="s">
        <v>441</v>
      </c>
      <c r="B150" s="31" t="s">
        <v>442</v>
      </c>
      <c r="C150" s="16" t="s">
        <v>414</v>
      </c>
      <c r="D150" s="32" t="s">
        <v>795</v>
      </c>
      <c r="E150" s="32"/>
      <c r="F150" s="32" t="s">
        <v>795</v>
      </c>
      <c r="G150" s="32" t="s">
        <v>795</v>
      </c>
      <c r="H150" s="32" t="n">
        <v>1</v>
      </c>
      <c r="I150" s="32" t="n">
        <f aca="false">IF(Scheda_1!$D$135="Acquisita",1,0)</f>
        <v>0</v>
      </c>
      <c r="J150" s="32" t="str">
        <f aca="false">IF($B$5="","",IF($B$5="ORD",D150,IF($B$5="CON",E150,IF($B$5="AGI",F150,G150))))</f>
        <v>X</v>
      </c>
      <c r="K150" s="32" t="n">
        <f aca="false">IF(OR(H150=0,I150=0,J150=""),0,IF(IF(J150="X",1,IF(J150="P",$B$6,IF(J150="C",$B$7,IF(J150="DR",$B$8,IF(J150="T",$B$9,0)))))=1,1,0))</f>
        <v>0</v>
      </c>
      <c r="L150" s="32" t="str">
        <f aca="false">IF(K150=0,"",IF(LEN(TRIM(Scheda_1!$D$136&amp;""))=0,"MANCANTE",IF(LEFT(LOWER(TRIM(Scheda_1!$D$136&amp;"")),7)="non not","NON NOTO","ok")))</f>
        <v/>
      </c>
    </row>
    <row r="151" customFormat="false" ht="15" hidden="false" customHeight="false" outlineLevel="0" collapsed="false">
      <c r="A151" s="16" t="s">
        <v>445</v>
      </c>
      <c r="B151" s="31" t="s">
        <v>446</v>
      </c>
      <c r="C151" s="16" t="s">
        <v>414</v>
      </c>
      <c r="D151" s="32"/>
      <c r="E151" s="32"/>
      <c r="F151" s="32" t="s">
        <v>795</v>
      </c>
      <c r="G151" s="32"/>
      <c r="H151" s="32" t="n">
        <v>1</v>
      </c>
      <c r="I151" s="32" t="n">
        <v>1</v>
      </c>
      <c r="J151" s="32" t="n">
        <f aca="false">IF($B$5="","",IF($B$5="ORD",D151,IF($B$5="CON",E151,IF($B$5="AGI",F151,G151))))</f>
        <v>0</v>
      </c>
      <c r="K151" s="32" t="n">
        <f aca="false">IF(OR(H151=0,I151=0,J151=""),0,IF(IF(J151="X",1,IF(J151="P",$B$6,IF(J151="C",$B$7,IF(J151="DR",$B$8,IF(J151="T",$B$9,0)))))=1,1,0))</f>
        <v>0</v>
      </c>
      <c r="L151" s="32" t="str">
        <f aca="false">IF(K151=0,"",IF(LEN(TRIM(Scheda_1!$D$137&amp;""))=0,"MANCANTE",IF(LEFT(LOWER(TRIM(Scheda_1!$D$137&amp;"")),7)="non not","NON NOTO","ok")))</f>
        <v/>
      </c>
    </row>
    <row r="152" customFormat="false" ht="15" hidden="false" customHeight="false" outlineLevel="0" collapsed="false">
      <c r="A152" s="16" t="s">
        <v>449</v>
      </c>
      <c r="B152" s="31" t="s">
        <v>450</v>
      </c>
      <c r="C152" s="16" t="s">
        <v>414</v>
      </c>
      <c r="D152" s="32"/>
      <c r="E152" s="32"/>
      <c r="F152" s="32" t="s">
        <v>795</v>
      </c>
      <c r="G152" s="32"/>
      <c r="H152" s="32" t="n">
        <v>1</v>
      </c>
      <c r="I152" s="32" t="n">
        <v>1</v>
      </c>
      <c r="J152" s="32" t="n">
        <f aca="false">IF($B$5="","",IF($B$5="ORD",D152,IF($B$5="CON",E152,IF($B$5="AGI",F152,G152))))</f>
        <v>0</v>
      </c>
      <c r="K152" s="32" t="n">
        <f aca="false">IF(OR(H152=0,I152=0,J152=""),0,IF(IF(J152="X",1,IF(J152="P",$B$6,IF(J152="C",$B$7,IF(J152="DR",$B$8,IF(J152="T",$B$9,0)))))=1,1,0))</f>
        <v>0</v>
      </c>
      <c r="L152" s="32" t="str">
        <f aca="false">IF(K152=0,"",IF(LEN(TRIM(Scheda_1!$D$138&amp;""))=0,"MANCANTE",IF(LEFT(LOWER(TRIM(Scheda_1!$D$138&amp;"")),7)="non not","NON NOTO","ok")))</f>
        <v/>
      </c>
    </row>
    <row r="153" customFormat="false" ht="15" hidden="false" customHeight="false" outlineLevel="0" collapsed="false">
      <c r="A153" s="16" t="s">
        <v>452</v>
      </c>
      <c r="B153" s="31" t="s">
        <v>453</v>
      </c>
      <c r="C153" s="16" t="s">
        <v>414</v>
      </c>
      <c r="D153" s="32"/>
      <c r="E153" s="32"/>
      <c r="F153" s="32" t="s">
        <v>795</v>
      </c>
      <c r="G153" s="32"/>
      <c r="H153" s="32" t="n">
        <v>1</v>
      </c>
      <c r="I153" s="32" t="n">
        <v>1</v>
      </c>
      <c r="J153" s="32" t="n">
        <f aca="false">IF($B$5="","",IF($B$5="ORD",D153,IF($B$5="CON",E153,IF($B$5="AGI",F153,G153))))</f>
        <v>0</v>
      </c>
      <c r="K153" s="32" t="n">
        <f aca="false">IF(OR(H153=0,I153=0,J153=""),0,IF(IF(J153="X",1,IF(J153="P",$B$6,IF(J153="C",$B$7,IF(J153="DR",$B$8,IF(J153="T",$B$9,0)))))=1,1,0))</f>
        <v>0</v>
      </c>
      <c r="L153" s="32" t="str">
        <f aca="false">IF(K153=0,"",IF(LEN(TRIM(Scheda_1!$D$139&amp;""))=0,"MANCANTE",IF(LEFT(LOWER(TRIM(Scheda_1!$D$139&amp;"")),7)="non not","NON NOTO","ok")))</f>
        <v/>
      </c>
    </row>
    <row r="154" customFormat="false" ht="15" hidden="false" customHeight="false" outlineLevel="0" collapsed="false">
      <c r="A154" s="16" t="s">
        <v>454</v>
      </c>
      <c r="B154" s="31" t="s">
        <v>455</v>
      </c>
      <c r="C154" s="16" t="s">
        <v>414</v>
      </c>
      <c r="D154" s="32"/>
      <c r="E154" s="32"/>
      <c r="F154" s="32" t="s">
        <v>795</v>
      </c>
      <c r="G154" s="32"/>
      <c r="H154" s="32" t="n">
        <v>1</v>
      </c>
      <c r="I154" s="32" t="n">
        <v>1</v>
      </c>
      <c r="J154" s="32" t="n">
        <f aca="false">IF($B$5="","",IF($B$5="ORD",D154,IF($B$5="CON",E154,IF($B$5="AGI",F154,G154))))</f>
        <v>0</v>
      </c>
      <c r="K154" s="32" t="n">
        <f aca="false">IF(OR(H154=0,I154=0,J154=""),0,IF(IF(J154="X",1,IF(J154="P",$B$6,IF(J154="C",$B$7,IF(J154="DR",$B$8,IF(J154="T",$B$9,0)))))=1,1,0))</f>
        <v>0</v>
      </c>
      <c r="L154" s="32" t="str">
        <f aca="false">IF(K154=0,"",IF(LEN(TRIM(Scheda_1!$D$140&amp;""))=0,"MANCANTE",IF(LEFT(LOWER(TRIM(Scheda_1!$D$140&amp;"")),7)="non not","NON NOTO","ok")))</f>
        <v/>
      </c>
    </row>
    <row r="155" customFormat="false" ht="15" hidden="false" customHeight="false" outlineLevel="0" collapsed="false">
      <c r="A155" s="16" t="s">
        <v>456</v>
      </c>
      <c r="B155" s="31" t="s">
        <v>457</v>
      </c>
      <c r="C155" s="16" t="s">
        <v>414</v>
      </c>
      <c r="D155" s="32"/>
      <c r="E155" s="32"/>
      <c r="F155" s="32" t="s">
        <v>795</v>
      </c>
      <c r="G155" s="32"/>
      <c r="H155" s="32" t="n">
        <v>1</v>
      </c>
      <c r="I155" s="32" t="n">
        <v>1</v>
      </c>
      <c r="J155" s="32" t="n">
        <f aca="false">IF($B$5="","",IF($B$5="ORD",D155,IF($B$5="CON",E155,IF($B$5="AGI",F155,G155))))</f>
        <v>0</v>
      </c>
      <c r="K155" s="32" t="n">
        <f aca="false">IF(OR(H155=0,I155=0,J155=""),0,IF(IF(J155="X",1,IF(J155="P",$B$6,IF(J155="C",$B$7,IF(J155="DR",$B$8,IF(J155="T",$B$9,0)))))=1,1,0))</f>
        <v>0</v>
      </c>
      <c r="L155" s="32" t="str">
        <f aca="false">IF(K155=0,"",IF(LEN(TRIM(Scheda_1!$D$141&amp;""))=0,"MANCANTE",IF(LEFT(LOWER(TRIM(Scheda_1!$D$141&amp;"")),7)="non not","NON NOTO","ok")))</f>
        <v/>
      </c>
    </row>
    <row r="156" customFormat="false" ht="15" hidden="false" customHeight="false" outlineLevel="0" collapsed="false">
      <c r="A156" s="16" t="s">
        <v>459</v>
      </c>
      <c r="B156" s="31" t="s">
        <v>460</v>
      </c>
      <c r="C156" s="16" t="s">
        <v>414</v>
      </c>
      <c r="D156" s="32"/>
      <c r="E156" s="32"/>
      <c r="F156" s="32" t="s">
        <v>795</v>
      </c>
      <c r="G156" s="32"/>
      <c r="H156" s="32" t="n">
        <v>1</v>
      </c>
      <c r="I156" s="32" t="n">
        <v>1</v>
      </c>
      <c r="J156" s="32" t="n">
        <f aca="false">IF($B$5="","",IF($B$5="ORD",D156,IF($B$5="CON",E156,IF($B$5="AGI",F156,G156))))</f>
        <v>0</v>
      </c>
      <c r="K156" s="32" t="n">
        <f aca="false">IF(OR(H156=0,I156=0,J156=""),0,IF(IF(J156="X",1,IF(J156="P",$B$6,IF(J156="C",$B$7,IF(J156="DR",$B$8,IF(J156="T",$B$9,0)))))=1,1,0))</f>
        <v>0</v>
      </c>
      <c r="L156" s="32" t="str">
        <f aca="false">IF(K156=0,"",IF(LEN(TRIM(Scheda_1!$D$142&amp;""))=0,"MANCANTE",IF(LEFT(LOWER(TRIM(Scheda_1!$D$142&amp;"")),7)="non not","NON NOTO","ok")))</f>
        <v/>
      </c>
    </row>
    <row r="157" customFormat="false" ht="15" hidden="false" customHeight="false" outlineLevel="0" collapsed="false">
      <c r="A157" s="16" t="s">
        <v>464</v>
      </c>
      <c r="B157" s="31" t="s">
        <v>466</v>
      </c>
      <c r="C157" s="16" t="s">
        <v>465</v>
      </c>
      <c r="D157" s="32" t="s">
        <v>795</v>
      </c>
      <c r="E157" s="32" t="s">
        <v>795</v>
      </c>
      <c r="F157" s="32" t="s">
        <v>795</v>
      </c>
      <c r="G157" s="32" t="s">
        <v>795</v>
      </c>
      <c r="H157" s="32" t="n">
        <v>1</v>
      </c>
      <c r="I157" s="32" t="n">
        <v>1</v>
      </c>
      <c r="J157" s="32" t="str">
        <f aca="false">IF($B$5="","",IF($B$5="ORD",D157,IF($B$5="CON",E157,IF($B$5="AGI",F157,G157))))</f>
        <v>X</v>
      </c>
      <c r="K157" s="32" t="n">
        <f aca="false">IF(H157=1,1,0)</f>
        <v>1</v>
      </c>
      <c r="L157" s="32" t="str">
        <f aca="false">IF(K157=0,"",IF(LEN(TRIM(Scheda_1!$D$145&amp;""))=0,"MANCANTE",IF(LEFT(LOWER(TRIM(Scheda_1!$D$145&amp;"")),7)="non not","NON NOTO","ok")))</f>
        <v>ok</v>
      </c>
    </row>
    <row r="158" customFormat="false" ht="15" hidden="false" customHeight="false" outlineLevel="0" collapsed="false">
      <c r="A158" s="16" t="s">
        <v>468</v>
      </c>
      <c r="B158" s="31" t="s">
        <v>469</v>
      </c>
      <c r="C158" s="16" t="s">
        <v>465</v>
      </c>
      <c r="D158" s="32"/>
      <c r="E158" s="32" t="s">
        <v>795</v>
      </c>
      <c r="F158" s="32"/>
      <c r="G158" s="32"/>
      <c r="H158" s="32" t="n">
        <f aca="false">IF(Scheda_1!$D$145="Sì",1,0)</f>
        <v>0</v>
      </c>
      <c r="I158" s="32" t="n">
        <v>1</v>
      </c>
      <c r="J158" s="32" t="n">
        <f aca="false">IF($B$5="","",IF($B$5="ORD",D158,IF($B$5="CON",E158,IF($B$5="AGI",F158,G158))))</f>
        <v>0</v>
      </c>
      <c r="K158" s="32" t="n">
        <f aca="false">IF(OR(H158=0,I158=0,J158=""),0,IF(IF(J158="X",1,IF(J158="P",$B$6,IF(J158="C",$B$7,IF(J158="DR",$B$8,IF(J158="T",$B$9,0)))))=1,1,0))</f>
        <v>0</v>
      </c>
      <c r="L158" s="32" t="str">
        <f aca="false">IF(K158=0,"",IF(LEN(TRIM(Scheda_1!$D$146&amp;""))=0,"MANCANTE",IF(LEFT(LOWER(TRIM(Scheda_1!$D$146&amp;"")),7)="non not","NON NOTO","ok")))</f>
        <v/>
      </c>
    </row>
    <row r="159" customFormat="false" ht="15" hidden="false" customHeight="false" outlineLevel="0" collapsed="false">
      <c r="A159" s="16" t="s">
        <v>471</v>
      </c>
      <c r="B159" s="31" t="s">
        <v>472</v>
      </c>
      <c r="C159" s="16" t="s">
        <v>465</v>
      </c>
      <c r="D159" s="32"/>
      <c r="E159" s="32" t="s">
        <v>795</v>
      </c>
      <c r="F159" s="32"/>
      <c r="G159" s="32"/>
      <c r="H159" s="32" t="n">
        <f aca="false">IF(Scheda_1!$D$145="Sì",1,0)</f>
        <v>0</v>
      </c>
      <c r="I159" s="32" t="n">
        <v>1</v>
      </c>
      <c r="J159" s="32" t="n">
        <f aca="false">IF($B$5="","",IF($B$5="ORD",D159,IF($B$5="CON",E159,IF($B$5="AGI",F159,G159))))</f>
        <v>0</v>
      </c>
      <c r="K159" s="32" t="n">
        <f aca="false">IF(OR(H159=0,I159=0,J159=""),0,IF(IF(J159="X",1,IF(J159="P",$B$6,IF(J159="C",$B$7,IF(J159="DR",$B$8,IF(J159="T",$B$9,0)))))=1,1,0))</f>
        <v>0</v>
      </c>
      <c r="L159" s="32" t="str">
        <f aca="false">IF(K159=0,"",IF(LEN(TRIM(Scheda_1!$D$147&amp;""))=0,"MANCANTE",IF(LEFT(LOWER(TRIM(Scheda_1!$D$147&amp;"")),7)="non not","NON NOTO","ok")))</f>
        <v/>
      </c>
    </row>
    <row r="160" customFormat="false" ht="15" hidden="false" customHeight="false" outlineLevel="0" collapsed="false">
      <c r="A160" s="16" t="s">
        <v>474</v>
      </c>
      <c r="B160" s="31" t="s">
        <v>475</v>
      </c>
      <c r="C160" s="16" t="s">
        <v>465</v>
      </c>
      <c r="D160" s="32"/>
      <c r="E160" s="32"/>
      <c r="F160" s="32"/>
      <c r="G160" s="32"/>
      <c r="H160" s="32" t="n">
        <f aca="false">IF(Scheda_1!$D$145="Sì",1,0)</f>
        <v>0</v>
      </c>
      <c r="I160" s="32" t="n">
        <v>1</v>
      </c>
      <c r="J160" s="32" t="n">
        <f aca="false">IF($B$5="","",IF($B$5="ORD",D160,IF($B$5="CON",E160,IF($B$5="AGI",F160,G160))))</f>
        <v>0</v>
      </c>
      <c r="K160" s="32" t="n">
        <v>0</v>
      </c>
      <c r="L160" s="32" t="str">
        <f aca="false">IF(K160=0,"",IF(LEN(TRIM(Scheda_1!$D$148&amp;""))=0,"MANCANTE",IF(LEFT(LOWER(TRIM(Scheda_1!$D$148&amp;"")),7)="non not","NON NOTO","ok")))</f>
        <v/>
      </c>
    </row>
    <row r="161" customFormat="false" ht="15" hidden="false" customHeight="false" outlineLevel="0" collapsed="false">
      <c r="A161" s="16" t="s">
        <v>477</v>
      </c>
      <c r="B161" s="31" t="s">
        <v>478</v>
      </c>
      <c r="C161" s="16" t="s">
        <v>465</v>
      </c>
      <c r="D161" s="32"/>
      <c r="E161" s="32" t="s">
        <v>795</v>
      </c>
      <c r="F161" s="32"/>
      <c r="G161" s="32"/>
      <c r="H161" s="32" t="n">
        <f aca="false">IF(Scheda_1!$D$145="Sì",1,0)</f>
        <v>0</v>
      </c>
      <c r="I161" s="32" t="n">
        <v>1</v>
      </c>
      <c r="J161" s="32" t="n">
        <f aca="false">IF($B$5="","",IF($B$5="ORD",D161,IF($B$5="CON",E161,IF($B$5="AGI",F161,G161))))</f>
        <v>0</v>
      </c>
      <c r="K161" s="32" t="n">
        <f aca="false">IF(OR(H161=0,I161=0,J161=""),0,IF(IF(J161="X",1,IF(J161="P",$B$6,IF(J161="C",$B$7,IF(J161="DR",$B$8,IF(J161="T",$B$9,0)))))=1,1,0))</f>
        <v>0</v>
      </c>
      <c r="L161" s="32" t="str">
        <f aca="false">IF(K161=0,"",IF(LEN(TRIM(Scheda_1!$D$149&amp;""))=0,"MANCANTE",IF(LEFT(LOWER(TRIM(Scheda_1!$D$149&amp;"")),7)="non not","NON NOTO","ok")))</f>
        <v/>
      </c>
    </row>
    <row r="162" customFormat="false" ht="15" hidden="false" customHeight="false" outlineLevel="0" collapsed="false">
      <c r="A162" s="16" t="s">
        <v>480</v>
      </c>
      <c r="B162" s="31" t="s">
        <v>481</v>
      </c>
      <c r="C162" s="16" t="s">
        <v>465</v>
      </c>
      <c r="D162" s="32"/>
      <c r="E162" s="32" t="s">
        <v>795</v>
      </c>
      <c r="F162" s="32"/>
      <c r="G162" s="32"/>
      <c r="H162" s="32" t="n">
        <f aca="false">IF(Scheda_1!$D$145="Sì",1,0)</f>
        <v>0</v>
      </c>
      <c r="I162" s="32" t="n">
        <v>1</v>
      </c>
      <c r="J162" s="32" t="n">
        <f aca="false">IF($B$5="","",IF($B$5="ORD",D162,IF($B$5="CON",E162,IF($B$5="AGI",F162,G162))))</f>
        <v>0</v>
      </c>
      <c r="K162" s="32" t="n">
        <f aca="false">IF(OR(H162=0,I162=0,J162=""),0,IF(IF(J162="X",1,IF(J162="P",$B$6,IF(J162="C",$B$7,IF(J162="DR",$B$8,IF(J162="T",$B$9,0)))))=1,1,0))</f>
        <v>0</v>
      </c>
      <c r="L162" s="32" t="str">
        <f aca="false">IF(K162=0,"",IF(LEN(TRIM(Scheda_1!$D$150&amp;""))=0,"MANCANTE",IF(LEFT(LOWER(TRIM(Scheda_1!$D$150&amp;"")),7)="non not","NON NOTO","ok")))</f>
        <v/>
      </c>
    </row>
    <row r="163" customFormat="false" ht="15" hidden="false" customHeight="false" outlineLevel="0" collapsed="false">
      <c r="A163" s="16" t="s">
        <v>483</v>
      </c>
      <c r="B163" s="31" t="s">
        <v>484</v>
      </c>
      <c r="C163" s="16" t="s">
        <v>465</v>
      </c>
      <c r="D163" s="32"/>
      <c r="E163" s="32" t="s">
        <v>795</v>
      </c>
      <c r="F163" s="32"/>
      <c r="G163" s="32"/>
      <c r="H163" s="32" t="n">
        <f aca="false">IF(Scheda_1!$D$145="Sì",1,0)</f>
        <v>0</v>
      </c>
      <c r="I163" s="32" t="n">
        <v>1</v>
      </c>
      <c r="J163" s="32" t="n">
        <f aca="false">IF($B$5="","",IF($B$5="ORD",D163,IF($B$5="CON",E163,IF($B$5="AGI",F163,G163))))</f>
        <v>0</v>
      </c>
      <c r="K163" s="32" t="n">
        <f aca="false">IF(OR(H163=0,I163=0,J163=""),0,IF(IF(J163="X",1,IF(J163="P",$B$6,IF(J163="C",$B$7,IF(J163="DR",$B$8,IF(J163="T",$B$9,0)))))=1,1,0))</f>
        <v>0</v>
      </c>
      <c r="L163" s="32" t="str">
        <f aca="false">IF(K163=0,"",IF(LEN(TRIM(Scheda_1!$D$151&amp;""))=0,"MANCANTE",IF(LEFT(LOWER(TRIM(Scheda_1!$D$151&amp;"")),7)="non not","NON NOTO","ok")))</f>
        <v/>
      </c>
    </row>
    <row r="164" customFormat="false" ht="15" hidden="false" customHeight="false" outlineLevel="0" collapsed="false">
      <c r="A164" s="16" t="s">
        <v>486</v>
      </c>
      <c r="B164" s="31" t="s">
        <v>487</v>
      </c>
      <c r="C164" s="16" t="s">
        <v>465</v>
      </c>
      <c r="D164" s="32"/>
      <c r="E164" s="32" t="s">
        <v>795</v>
      </c>
      <c r="F164" s="32"/>
      <c r="G164" s="32"/>
      <c r="H164" s="32" t="n">
        <f aca="false">IF(Scheda_1!$D$145="Sì",1,0)</f>
        <v>0</v>
      </c>
      <c r="I164" s="32" t="n">
        <v>1</v>
      </c>
      <c r="J164" s="32" t="n">
        <f aca="false">IF($B$5="","",IF($B$5="ORD",D164,IF($B$5="CON",E164,IF($B$5="AGI",F164,G164))))</f>
        <v>0</v>
      </c>
      <c r="K164" s="32" t="n">
        <f aca="false">IF(OR(H164=0,I164=0,J164=""),0,IF(IF(J164="X",1,IF(J164="P",$B$6,IF(J164="C",$B$7,IF(J164="DR",$B$8,IF(J164="T",$B$9,0)))))=1,1,0))</f>
        <v>0</v>
      </c>
      <c r="L164" s="32" t="str">
        <f aca="false">IF(K164=0,"",IF(LEN(TRIM(Scheda_1!$D$152&amp;""))=0,"MANCANTE",IF(LEFT(LOWER(TRIM(Scheda_1!$D$152&amp;"")),7)="non not","NON NOTO","ok")))</f>
        <v/>
      </c>
    </row>
    <row r="165" customFormat="false" ht="15" hidden="false" customHeight="false" outlineLevel="0" collapsed="false">
      <c r="A165" s="16" t="s">
        <v>489</v>
      </c>
      <c r="B165" s="31" t="s">
        <v>490</v>
      </c>
      <c r="C165" s="16" t="s">
        <v>465</v>
      </c>
      <c r="D165" s="32"/>
      <c r="E165" s="32" t="s">
        <v>795</v>
      </c>
      <c r="F165" s="32"/>
      <c r="G165" s="32"/>
      <c r="H165" s="32" t="n">
        <f aca="false">IF(Scheda_1!$D$145="Sì",1,0)</f>
        <v>0</v>
      </c>
      <c r="I165" s="32" t="n">
        <v>1</v>
      </c>
      <c r="J165" s="32" t="n">
        <f aca="false">IF($B$5="","",IF($B$5="ORD",D165,IF($B$5="CON",E165,IF($B$5="AGI",F165,G165))))</f>
        <v>0</v>
      </c>
      <c r="K165" s="32" t="n">
        <f aca="false">IF(OR(H165=0,I165=0,J165=""),0,IF(IF(J165="X",1,IF(J165="P",$B$6,IF(J165="C",$B$7,IF(J165="DR",$B$8,IF(J165="T",$B$9,0)))))=1,1,0))</f>
        <v>0</v>
      </c>
      <c r="L165" s="32" t="str">
        <f aca="false">IF(K165=0,"",IF(LEN(TRIM(Scheda_1!$D$153&amp;""))=0,"MANCANTE",IF(LEFT(LOWER(TRIM(Scheda_1!$D$153&amp;"")),7)="non not","NON NOTO","ok")))</f>
        <v/>
      </c>
    </row>
    <row r="166" customFormat="false" ht="15" hidden="false" customHeight="false" outlineLevel="0" collapsed="false">
      <c r="A166" s="16" t="s">
        <v>492</v>
      </c>
      <c r="B166" s="31" t="s">
        <v>493</v>
      </c>
      <c r="C166" s="16" t="s">
        <v>465</v>
      </c>
      <c r="D166" s="32"/>
      <c r="E166" s="32" t="s">
        <v>795</v>
      </c>
      <c r="F166" s="32"/>
      <c r="G166" s="32"/>
      <c r="H166" s="32" t="n">
        <f aca="false">IF(Scheda_1!$D$145="Sì",1,0)</f>
        <v>0</v>
      </c>
      <c r="I166" s="32" t="n">
        <v>1</v>
      </c>
      <c r="J166" s="32" t="n">
        <f aca="false">IF($B$5="","",IF($B$5="ORD",D166,IF($B$5="CON",E166,IF($B$5="AGI",F166,G166))))</f>
        <v>0</v>
      </c>
      <c r="K166" s="32" t="n">
        <f aca="false">IF(OR(H166=0,I166=0,J166=""),0,IF(IF(J166="X",1,IF(J166="P",$B$6,IF(J166="C",$B$7,IF(J166="DR",$B$8,IF(J166="T",$B$9,0)))))=1,1,0))</f>
        <v>0</v>
      </c>
      <c r="L166" s="32" t="str">
        <f aca="false">IF(K166=0,"",IF(LEN(TRIM(Scheda_1!$D$154&amp;""))=0,"MANCANTE",IF(LEFT(LOWER(TRIM(Scheda_1!$D$154&amp;"")),7)="non not","NON NOTO","ok")))</f>
        <v/>
      </c>
    </row>
    <row r="167" customFormat="false" ht="15" hidden="false" customHeight="false" outlineLevel="0" collapsed="false">
      <c r="A167" s="16" t="s">
        <v>495</v>
      </c>
      <c r="B167" s="31" t="s">
        <v>496</v>
      </c>
      <c r="C167" s="16" t="s">
        <v>465</v>
      </c>
      <c r="D167" s="32"/>
      <c r="E167" s="32" t="s">
        <v>795</v>
      </c>
      <c r="F167" s="32"/>
      <c r="G167" s="32"/>
      <c r="H167" s="32" t="n">
        <f aca="false">IF(Scheda_1!$D$145="Sì",1,0)</f>
        <v>0</v>
      </c>
      <c r="I167" s="32" t="n">
        <v>1</v>
      </c>
      <c r="J167" s="32" t="n">
        <f aca="false">IF($B$5="","",IF($B$5="ORD",D167,IF($B$5="CON",E167,IF($B$5="AGI",F167,G167))))</f>
        <v>0</v>
      </c>
      <c r="K167" s="32" t="n">
        <f aca="false">IF(OR(H167=0,I167=0,J167=""),0,IF(IF(J167="X",1,IF(J167="P",$B$6,IF(J167="C",$B$7,IF(J167="DR",$B$8,IF(J167="T",$B$9,0)))))=1,1,0))</f>
        <v>0</v>
      </c>
      <c r="L167" s="32" t="str">
        <f aca="false">IF(K167=0,"",IF(LEN(TRIM(Scheda_1!$D$155&amp;""))=0,"MANCANTE",IF(LEFT(LOWER(TRIM(Scheda_1!$D$155&amp;"")),7)="non not","NON NOTO","ok")))</f>
        <v/>
      </c>
    </row>
    <row r="168" customFormat="false" ht="15" hidden="false" customHeight="false" outlineLevel="0" collapsed="false">
      <c r="A168" s="16" t="s">
        <v>498</v>
      </c>
      <c r="B168" s="31" t="s">
        <v>499</v>
      </c>
      <c r="C168" s="16" t="s">
        <v>465</v>
      </c>
      <c r="D168" s="32"/>
      <c r="E168" s="32" t="s">
        <v>795</v>
      </c>
      <c r="F168" s="32"/>
      <c r="G168" s="32"/>
      <c r="H168" s="32" t="n">
        <f aca="false">IF(Scheda_1!$D$145="Sì",1,0)</f>
        <v>0</v>
      </c>
      <c r="I168" s="32" t="n">
        <v>1</v>
      </c>
      <c r="J168" s="32" t="n">
        <f aca="false">IF($B$5="","",IF($B$5="ORD",D168,IF($B$5="CON",E168,IF($B$5="AGI",F168,G168))))</f>
        <v>0</v>
      </c>
      <c r="K168" s="32" t="n">
        <f aca="false">IF(OR(H168=0,I168=0,J168=""),0,IF(IF(J168="X",1,IF(J168="P",$B$6,IF(J168="C",$B$7,IF(J168="DR",$B$8,IF(J168="T",$B$9,0)))))=1,1,0))</f>
        <v>0</v>
      </c>
      <c r="L168" s="32" t="str">
        <f aca="false">IF(K168=0,"",IF(LEN(TRIM(Scheda_1!$D$156&amp;""))=0,"MANCANTE",IF(LEFT(LOWER(TRIM(Scheda_1!$D$156&amp;"")),7)="non not","NON NOTO","ok")))</f>
        <v/>
      </c>
    </row>
    <row r="169" customFormat="false" ht="15" hidden="false" customHeight="false" outlineLevel="0" collapsed="false">
      <c r="A169" s="16" t="s">
        <v>500</v>
      </c>
      <c r="B169" s="31" t="s">
        <v>501</v>
      </c>
      <c r="C169" s="16" t="s">
        <v>465</v>
      </c>
      <c r="D169" s="32"/>
      <c r="E169" s="32" t="s">
        <v>795</v>
      </c>
      <c r="F169" s="32"/>
      <c r="G169" s="32"/>
      <c r="H169" s="32" t="n">
        <f aca="false">IF(Scheda_1!$D$145="Sì",1,0)</f>
        <v>0</v>
      </c>
      <c r="I169" s="32" t="n">
        <v>1</v>
      </c>
      <c r="J169" s="32" t="n">
        <f aca="false">IF($B$5="","",IF($B$5="ORD",D169,IF($B$5="CON",E169,IF($B$5="AGI",F169,G169))))</f>
        <v>0</v>
      </c>
      <c r="K169" s="32" t="n">
        <f aca="false">IF(OR(H169=0,I169=0,J169=""),0,IF(IF(J169="X",1,IF(J169="P",$B$6,IF(J169="C",$B$7,IF(J169="DR",$B$8,IF(J169="T",$B$9,0)))))=1,1,0))</f>
        <v>0</v>
      </c>
      <c r="L169" s="32" t="str">
        <f aca="false">IF(K169=0,"",IF(LEN(TRIM(Scheda_1!$D$157&amp;""))=0,"MANCANTE",IF(LEFT(LOWER(TRIM(Scheda_1!$D$157&amp;"")),7)="non not","NON NOTO","ok")))</f>
        <v/>
      </c>
    </row>
    <row r="170" customFormat="false" ht="15" hidden="false" customHeight="false" outlineLevel="0" collapsed="false">
      <c r="A170" s="16" t="s">
        <v>503</v>
      </c>
      <c r="B170" s="31" t="s">
        <v>504</v>
      </c>
      <c r="C170" s="16" t="s">
        <v>465</v>
      </c>
      <c r="D170" s="32"/>
      <c r="E170" s="32" t="s">
        <v>795</v>
      </c>
      <c r="F170" s="32"/>
      <c r="G170" s="32"/>
      <c r="H170" s="32" t="n">
        <f aca="false">IF(Scheda_1!$D$145="Sì",1,0)</f>
        <v>0</v>
      </c>
      <c r="I170" s="32" t="n">
        <v>1</v>
      </c>
      <c r="J170" s="32" t="n">
        <f aca="false">IF($B$5="","",IF($B$5="ORD",D170,IF($B$5="CON",E170,IF($B$5="AGI",F170,G170))))</f>
        <v>0</v>
      </c>
      <c r="K170" s="32" t="n">
        <f aca="false">IF(OR(H170=0,I170=0,J170=""),0,IF(IF(J170="X",1,IF(J170="P",$B$6,IF(J170="C",$B$7,IF(J170="DR",$B$8,IF(J170="T",$B$9,0)))))=1,1,0))</f>
        <v>0</v>
      </c>
      <c r="L170" s="32" t="str">
        <f aca="false">IF(K170=0,"",IF(LEN(TRIM(Scheda_1!$D$158&amp;""))=0,"MANCANTE",IF(LEFT(LOWER(TRIM(Scheda_1!$D$158&amp;"")),7)="non not","NON NOTO","ok")))</f>
        <v/>
      </c>
    </row>
    <row r="171" customFormat="false" ht="15" hidden="false" customHeight="false" outlineLevel="0" collapsed="false">
      <c r="A171" s="16" t="s">
        <v>505</v>
      </c>
      <c r="B171" s="31" t="s">
        <v>506</v>
      </c>
      <c r="C171" s="16" t="s">
        <v>465</v>
      </c>
      <c r="D171" s="32"/>
      <c r="E171" s="32" t="s">
        <v>795</v>
      </c>
      <c r="F171" s="32"/>
      <c r="G171" s="32"/>
      <c r="H171" s="32" t="n">
        <f aca="false">IF(Scheda_1!$D$145="Sì",1,0)</f>
        <v>0</v>
      </c>
      <c r="I171" s="32" t="n">
        <f aca="false">IF(Scheda_1!$D$19="Condono L. 326/03",1,0)</f>
        <v>0</v>
      </c>
      <c r="J171" s="32" t="n">
        <f aca="false">IF($B$5="","",IF($B$5="ORD",D171,IF($B$5="CON",E171,IF($B$5="AGI",F171,G171))))</f>
        <v>0</v>
      </c>
      <c r="K171" s="32" t="n">
        <f aca="false">IF(OR(H171=0,I171=0,J171=""),0,IF(IF(J171="X",1,IF(J171="P",$B$6,IF(J171="C",$B$7,IF(J171="DR",$B$8,IF(J171="T",$B$9,0)))))=1,1,0))</f>
        <v>0</v>
      </c>
      <c r="L171" s="32" t="str">
        <f aca="false">IF(K171=0,"",IF(LEN(TRIM(Scheda_1!$D$159&amp;""))=0,"MANCANTE",IF(LEFT(LOWER(TRIM(Scheda_1!$D$159&amp;"")),7)="non not","NON NOTO","ok")))</f>
        <v/>
      </c>
    </row>
    <row r="172" customFormat="false" ht="15" hidden="false" customHeight="false" outlineLevel="0" collapsed="false">
      <c r="A172" s="16" t="s">
        <v>509</v>
      </c>
      <c r="B172" s="31" t="s">
        <v>510</v>
      </c>
      <c r="C172" s="16" t="s">
        <v>465</v>
      </c>
      <c r="D172" s="32"/>
      <c r="E172" s="32" t="s">
        <v>795</v>
      </c>
      <c r="F172" s="32"/>
      <c r="G172" s="32"/>
      <c r="H172" s="32" t="n">
        <f aca="false">IF(Scheda_1!$D$145="Sì",1,0)</f>
        <v>0</v>
      </c>
      <c r="I172" s="32" t="n">
        <f aca="false">IF(AND(Scheda_1!$D$19="Condono L. 326/03",Scheda_1!$D$159&lt;&gt;"",IFERROR(VALUE(LEFT(Scheda_1!$D$159,1)),0)&gt;=3),1,0)</f>
        <v>0</v>
      </c>
      <c r="J172" s="32" t="n">
        <f aca="false">IF($B$5="","",IF($B$5="ORD",D172,IF($B$5="CON",E172,IF($B$5="AGI",F172,G172))))</f>
        <v>0</v>
      </c>
      <c r="K172" s="32" t="n">
        <f aca="false">IF(OR(H172=0,I172=0,J172=""),0,IF(IF(J172="X",1,IF(J172="P",$B$6,IF(J172="C",$B$7,IF(J172="DR",$B$8,IF(J172="T",$B$9,0)))))=1,1,0))</f>
        <v>0</v>
      </c>
      <c r="L172" s="32" t="str">
        <f aca="false">IF(K172=0,"",IF(LEN(TRIM(Scheda_1!$D$160&amp;""))=0,"MANCANTE",IF(LEFT(LOWER(TRIM(Scheda_1!$D$160&amp;"")),7)="non not","NON NOTO","ok")))</f>
        <v/>
      </c>
    </row>
    <row r="173" customFormat="false" ht="15" hidden="false" customHeight="false" outlineLevel="0" collapsed="false">
      <c r="A173" s="16" t="s">
        <v>512</v>
      </c>
      <c r="B173" s="31" t="s">
        <v>513</v>
      </c>
      <c r="C173" s="16" t="s">
        <v>465</v>
      </c>
      <c r="D173" s="32"/>
      <c r="E173" s="32" t="s">
        <v>795</v>
      </c>
      <c r="F173" s="32"/>
      <c r="G173" s="32"/>
      <c r="H173" s="32" t="n">
        <f aca="false">IF(Scheda_1!$D$145="Sì",1,0)</f>
        <v>0</v>
      </c>
      <c r="I173" s="32" t="n">
        <f aca="false">IF(Scheda_1!$D$19="Condono L. 326/03",1,0)</f>
        <v>0</v>
      </c>
      <c r="J173" s="32" t="n">
        <f aca="false">IF($B$5="","",IF($B$5="ORD",D173,IF($B$5="CON",E173,IF($B$5="AGI",F173,G173))))</f>
        <v>0</v>
      </c>
      <c r="K173" s="32" t="n">
        <f aca="false">IF(OR(H173=0,I173=0,J173=""),0,IF(IF(J173="X",1,IF(J173="P",$B$6,IF(J173="C",$B$7,IF(J173="DR",$B$8,IF(J173="T",$B$9,0)))))=1,1,0))</f>
        <v>0</v>
      </c>
      <c r="L173" s="32" t="str">
        <f aca="false">IF(K173=0,"",IF(LEN(TRIM(Scheda_1!$D$161&amp;""))=0,"MANCANTE",IF(LEFT(LOWER(TRIM(Scheda_1!$D$161&amp;"")),7)="non not","NON NOTO","ok")))</f>
        <v/>
      </c>
    </row>
    <row r="174" customFormat="false" ht="15" hidden="false" customHeight="false" outlineLevel="0" collapsed="false">
      <c r="A174" s="16" t="s">
        <v>515</v>
      </c>
      <c r="B174" s="31" t="s">
        <v>516</v>
      </c>
      <c r="C174" s="16" t="s">
        <v>465</v>
      </c>
      <c r="D174" s="32"/>
      <c r="E174" s="32" t="s">
        <v>795</v>
      </c>
      <c r="F174" s="32"/>
      <c r="G174" s="32"/>
      <c r="H174" s="32" t="n">
        <f aca="false">IF(Scheda_1!$D$145="Sì",1,0)</f>
        <v>0</v>
      </c>
      <c r="I174" s="32" t="n">
        <f aca="false">IF(Scheda_1!$D$19="Condono L. 326/03",1,0)</f>
        <v>0</v>
      </c>
      <c r="J174" s="32" t="n">
        <f aca="false">IF($B$5="","",IF($B$5="ORD",D174,IF($B$5="CON",E174,IF($B$5="AGI",F174,G174))))</f>
        <v>0</v>
      </c>
      <c r="K174" s="32" t="n">
        <f aca="false">IF(OR(H174=0,I174=0,J174=""),0,IF(IF(J174="X",1,IF(J174="P",$B$6,IF(J174="C",$B$7,IF(J174="DR",$B$8,IF(J174="T",$B$9,0)))))=1,1,0))</f>
        <v>0</v>
      </c>
      <c r="L174" s="32" t="str">
        <f aca="false">IF(K174=0,"",IF(LEN(TRIM(Scheda_1!$D$162&amp;""))=0,"MANCANTE",IF(LEFT(LOWER(TRIM(Scheda_1!$D$162&amp;"")),7)="non not","NON NOTO","ok")))</f>
        <v/>
      </c>
    </row>
    <row r="175" customFormat="false" ht="15" hidden="false" customHeight="false" outlineLevel="0" collapsed="false">
      <c r="A175" s="16" t="s">
        <v>518</v>
      </c>
      <c r="B175" s="31" t="s">
        <v>519</v>
      </c>
      <c r="C175" s="16" t="s">
        <v>465</v>
      </c>
      <c r="D175" s="32"/>
      <c r="E175" s="32" t="s">
        <v>795</v>
      </c>
      <c r="F175" s="32"/>
      <c r="G175" s="32"/>
      <c r="H175" s="32" t="n">
        <f aca="false">IF(Scheda_1!$D$145="Sì",1,0)</f>
        <v>0</v>
      </c>
      <c r="I175" s="32" t="n">
        <f aca="false">IF(Scheda_1!$D$19="Condono L. 326/03",1,0)</f>
        <v>0</v>
      </c>
      <c r="J175" s="32" t="n">
        <f aca="false">IF($B$5="","",IF($B$5="ORD",D175,IF($B$5="CON",E175,IF($B$5="AGI",F175,G175))))</f>
        <v>0</v>
      </c>
      <c r="K175" s="32" t="n">
        <f aca="false">IF(OR(H175=0,I175=0,J175=""),0,IF(IF(J175="X",1,IF(J175="P",$B$6,IF(J175="C",$B$7,IF(J175="DR",$B$8,IF(J175="T",$B$9,0)))))=1,1,0))</f>
        <v>0</v>
      </c>
      <c r="L175" s="32" t="str">
        <f aca="false">IF(K175=0,"",IF(LEN(TRIM(Scheda_1!$D$163&amp;""))=0,"MANCANTE",IF(LEFT(LOWER(TRIM(Scheda_1!$D$163&amp;"")),7)="non not","NON NOTO","ok")))</f>
        <v/>
      </c>
    </row>
    <row r="176" customFormat="false" ht="15" hidden="false" customHeight="false" outlineLevel="0" collapsed="false">
      <c r="A176" s="16" t="s">
        <v>521</v>
      </c>
      <c r="B176" s="31" t="s">
        <v>522</v>
      </c>
      <c r="C176" s="16" t="s">
        <v>465</v>
      </c>
      <c r="D176" s="32"/>
      <c r="E176" s="32" t="s">
        <v>795</v>
      </c>
      <c r="F176" s="32"/>
      <c r="G176" s="32"/>
      <c r="H176" s="32" t="n">
        <f aca="false">IF(Scheda_1!$D$145="Sì",1,0)</f>
        <v>0</v>
      </c>
      <c r="I176" s="32" t="n">
        <f aca="false">IF(Scheda_1!$D$19="Condono L. 326/03",1,0)</f>
        <v>0</v>
      </c>
      <c r="J176" s="32" t="n">
        <f aca="false">IF($B$5="","",IF($B$5="ORD",D176,IF($B$5="CON",E176,IF($B$5="AGI",F176,G176))))</f>
        <v>0</v>
      </c>
      <c r="K176" s="32" t="n">
        <f aca="false">IF(OR(H176=0,I176=0,J176=""),0,IF(IF(J176="X",1,IF(J176="P",$B$6,IF(J176="C",$B$7,IF(J176="DR",$B$8,IF(J176="T",$B$9,0)))))=1,1,0))</f>
        <v>0</v>
      </c>
      <c r="L176" s="32" t="str">
        <f aca="false">IF(K176=0,"",IF(LEN(TRIM(Scheda_1!$D$164&amp;""))=0,"MANCANTE",IF(LEFT(LOWER(TRIM(Scheda_1!$D$164&amp;"")),7)="non not","NON NOTO","ok")))</f>
        <v/>
      </c>
    </row>
    <row r="177" customFormat="false" ht="15" hidden="false" customHeight="false" outlineLevel="0" collapsed="false">
      <c r="A177" s="16" t="s">
        <v>523</v>
      </c>
      <c r="B177" s="31" t="s">
        <v>524</v>
      </c>
      <c r="C177" s="16" t="s">
        <v>465</v>
      </c>
      <c r="D177" s="32"/>
      <c r="E177" s="32" t="s">
        <v>795</v>
      </c>
      <c r="F177" s="32"/>
      <c r="G177" s="32"/>
      <c r="H177" s="32" t="n">
        <f aca="false">IF(Scheda_1!$D$145="Sì",1,0)</f>
        <v>0</v>
      </c>
      <c r="I177" s="32" t="n">
        <f aca="false">IF(Scheda_1!$D$19="Condono L. 326/03",1,0)</f>
        <v>0</v>
      </c>
      <c r="J177" s="32" t="n">
        <f aca="false">IF($B$5="","",IF($B$5="ORD",D177,IF($B$5="CON",E177,IF($B$5="AGI",F177,G177))))</f>
        <v>0</v>
      </c>
      <c r="K177" s="32" t="n">
        <f aca="false">IF(OR(H177=0,I177=0,J177=""),0,IF(IF(J177="X",1,IF(J177="P",$B$6,IF(J177="C",$B$7,IF(J177="DR",$B$8,IF(J177="T",$B$9,0)))))=1,1,0))</f>
        <v>0</v>
      </c>
      <c r="L177" s="32" t="str">
        <f aca="false">IF(K177=0,"",IF(LEN(TRIM(Scheda_1!$D$165&amp;""))=0,"MANCANTE",IF(LEFT(LOWER(TRIM(Scheda_1!$D$165&amp;"")),7)="non not","NON NOTO","ok")))</f>
        <v/>
      </c>
    </row>
    <row r="178" customFormat="false" ht="15" hidden="false" customHeight="false" outlineLevel="0" collapsed="false">
      <c r="A178" s="16" t="s">
        <v>526</v>
      </c>
      <c r="B178" s="31" t="s">
        <v>527</v>
      </c>
      <c r="C178" s="16" t="s">
        <v>465</v>
      </c>
      <c r="D178" s="32"/>
      <c r="E178" s="32" t="s">
        <v>795</v>
      </c>
      <c r="F178" s="32"/>
      <c r="G178" s="32"/>
      <c r="H178" s="32" t="n">
        <f aca="false">IF(Scheda_1!$D$145="Sì",1,0)</f>
        <v>0</v>
      </c>
      <c r="I178" s="32" t="n">
        <f aca="false">IF(Scheda_1!$D$19="Condono L. 326/03",1,0)</f>
        <v>0</v>
      </c>
      <c r="J178" s="32" t="n">
        <f aca="false">IF($B$5="","",IF($B$5="ORD",D178,IF($B$5="CON",E178,IF($B$5="AGI",F178,G178))))</f>
        <v>0</v>
      </c>
      <c r="K178" s="32" t="n">
        <f aca="false">IF(OR(H178=0,I178=0,J178=""),0,IF(IF(J178="X",1,IF(J178="P",$B$6,IF(J178="C",$B$7,IF(J178="DR",$B$8,IF(J178="T",$B$9,0)))))=1,1,0))</f>
        <v>0</v>
      </c>
      <c r="L178" s="32" t="str">
        <f aca="false">IF(K178=0,"",IF(LEN(TRIM(Scheda_1!$D$166&amp;""))=0,"MANCANTE",IF(LEFT(LOWER(TRIM(Scheda_1!$D$166&amp;"")),7)="non not","NON NOTO","ok")))</f>
        <v/>
      </c>
    </row>
    <row r="179" customFormat="false" ht="15" hidden="false" customHeight="false" outlineLevel="0" collapsed="false">
      <c r="A179" s="16" t="s">
        <v>528</v>
      </c>
      <c r="B179" s="31" t="s">
        <v>529</v>
      </c>
      <c r="C179" s="16" t="s">
        <v>465</v>
      </c>
      <c r="D179" s="32"/>
      <c r="E179" s="32" t="s">
        <v>795</v>
      </c>
      <c r="F179" s="32"/>
      <c r="G179" s="32"/>
      <c r="H179" s="32" t="n">
        <f aca="false">IF(Scheda_1!$D$145="Sì",1,0)</f>
        <v>0</v>
      </c>
      <c r="I179" s="32" t="n">
        <f aca="false">IF(Scheda_1!$D$19="Condono L. 326/03",1,0)</f>
        <v>0</v>
      </c>
      <c r="J179" s="32" t="n">
        <f aca="false">IF($B$5="","",IF($B$5="ORD",D179,IF($B$5="CON",E179,IF($B$5="AGI",F179,G179))))</f>
        <v>0</v>
      </c>
      <c r="K179" s="32" t="n">
        <f aca="false">IF(OR(H179=0,I179=0,J179=""),0,IF(IF(J179="X",1,IF(J179="P",$B$6,IF(J179="C",$B$7,IF(J179="DR",$B$8,IF(J179="T",$B$9,0)))))=1,1,0))</f>
        <v>0</v>
      </c>
      <c r="L179" s="32" t="str">
        <f aca="false">IF(K179=0,"",IF(LEN(TRIM(Scheda_1!$D$167&amp;""))=0,"MANCANTE",IF(LEFT(LOWER(TRIM(Scheda_1!$D$167&amp;"")),7)="non not","NON NOTO","ok")))</f>
        <v/>
      </c>
    </row>
    <row r="180" customFormat="false" ht="15" hidden="false" customHeight="false" outlineLevel="0" collapsed="false">
      <c r="A180" s="16" t="s">
        <v>530</v>
      </c>
      <c r="B180" s="31" t="s">
        <v>531</v>
      </c>
      <c r="C180" s="16" t="s">
        <v>465</v>
      </c>
      <c r="D180" s="32"/>
      <c r="E180" s="32" t="s">
        <v>795</v>
      </c>
      <c r="F180" s="32"/>
      <c r="G180" s="32"/>
      <c r="H180" s="32" t="n">
        <f aca="false">IF(Scheda_1!$D$145="Sì",1,0)</f>
        <v>0</v>
      </c>
      <c r="I180" s="32" t="n">
        <f aca="false">IF(OR(Scheda_1!$D$19="Condono L. 47/85",Scheda_1!$D$19="Condono L. 724/94"),1,0)</f>
        <v>0</v>
      </c>
      <c r="J180" s="32" t="n">
        <f aca="false">IF($B$5="","",IF($B$5="ORD",D180,IF($B$5="CON",E180,IF($B$5="AGI",F180,G180))))</f>
        <v>0</v>
      </c>
      <c r="K180" s="32" t="n">
        <f aca="false">IF(OR(H180=0,I180=0,J180=""),0,IF(IF(J180="X",1,IF(J180="P",$B$6,IF(J180="C",$B$7,IF(J180="DR",$B$8,IF(J180="T",$B$9,0)))))=1,1,0))</f>
        <v>0</v>
      </c>
      <c r="L180" s="32" t="str">
        <f aca="false">IF(K180=0,"",IF(LEN(TRIM(Scheda_1!$D$168&amp;""))=0,"MANCANTE",IF(LEFT(LOWER(TRIM(Scheda_1!$D$168&amp;"")),7)="non not","NON NOTO","ok")))</f>
        <v/>
      </c>
    </row>
    <row r="181" customFormat="false" ht="15" hidden="false" customHeight="false" outlineLevel="0" collapsed="false">
      <c r="A181" s="16" t="s">
        <v>534</v>
      </c>
      <c r="B181" s="31" t="s">
        <v>535</v>
      </c>
      <c r="C181" s="16" t="s">
        <v>465</v>
      </c>
      <c r="D181" s="32"/>
      <c r="E181" s="32" t="s">
        <v>795</v>
      </c>
      <c r="F181" s="32"/>
      <c r="G181" s="32"/>
      <c r="H181" s="32" t="n">
        <f aca="false">IF(Scheda_1!$D$145="Sì",1,0)</f>
        <v>0</v>
      </c>
      <c r="I181" s="32" t="n">
        <f aca="false">IF(OR(Scheda_1!$D$19="Condono L. 47/85",Scheda_1!$D$19="Condono L. 724/94"),1,0)</f>
        <v>0</v>
      </c>
      <c r="J181" s="32" t="n">
        <f aca="false">IF($B$5="","",IF($B$5="ORD",D181,IF($B$5="CON",E181,IF($B$5="AGI",F181,G181))))</f>
        <v>0</v>
      </c>
      <c r="K181" s="32" t="n">
        <f aca="false">IF(OR(H181=0,I181=0,J181=""),0,IF(IF(J181="X",1,IF(J181="P",$B$6,IF(J181="C",$B$7,IF(J181="DR",$B$8,IF(J181="T",$B$9,0)))))=1,1,0))</f>
        <v>0</v>
      </c>
      <c r="L181" s="32" t="str">
        <f aca="false">IF(K181=0,"",IF(LEN(TRIM(Scheda_1!$D$169&amp;""))=0,"MANCANTE",IF(LEFT(LOWER(TRIM(Scheda_1!$D$169&amp;"")),7)="non not","NON NOTO","ok")))</f>
        <v/>
      </c>
    </row>
    <row r="182" customFormat="false" ht="15" hidden="false" customHeight="false" outlineLevel="0" collapsed="false">
      <c r="A182" s="16" t="s">
        <v>538</v>
      </c>
      <c r="B182" s="31" t="s">
        <v>540</v>
      </c>
      <c r="C182" s="16" t="s">
        <v>539</v>
      </c>
      <c r="D182" s="32" t="s">
        <v>795</v>
      </c>
      <c r="E182" s="32" t="s">
        <v>795</v>
      </c>
      <c r="F182" s="32" t="s">
        <v>795</v>
      </c>
      <c r="G182" s="32" t="s">
        <v>795</v>
      </c>
      <c r="H182" s="32" t="n">
        <v>1</v>
      </c>
      <c r="I182" s="32" t="n">
        <v>1</v>
      </c>
      <c r="J182" s="32" t="str">
        <f aca="false">IF($B$5="","",IF($B$5="ORD",D182,IF($B$5="CON",E182,IF($B$5="AGI",F182,G182))))</f>
        <v>X</v>
      </c>
      <c r="K182" s="32" t="n">
        <f aca="false">IF(H182=1,1,0)</f>
        <v>1</v>
      </c>
      <c r="L182" s="32" t="str">
        <f aca="false">IF(K182=0,"",IF(LEN(TRIM(Scheda_1!$D$171&amp;""))=0,"MANCANTE",IF(LEFT(LOWER(TRIM(Scheda_1!$D$171&amp;"")),7)="non not","NON NOTO","ok")))</f>
        <v>ok</v>
      </c>
    </row>
    <row r="183" customFormat="false" ht="15" hidden="false" customHeight="false" outlineLevel="0" collapsed="false">
      <c r="A183" s="16" t="s">
        <v>541</v>
      </c>
      <c r="B183" s="31" t="s">
        <v>542</v>
      </c>
      <c r="C183" s="16" t="s">
        <v>539</v>
      </c>
      <c r="D183" s="32" t="s">
        <v>795</v>
      </c>
      <c r="E183" s="32" t="s">
        <v>795</v>
      </c>
      <c r="F183" s="32" t="s">
        <v>795</v>
      </c>
      <c r="G183" s="32" t="s">
        <v>795</v>
      </c>
      <c r="H183" s="32" t="n">
        <f aca="false">IF(Scheda_1!$D$171="Sì",1,0)</f>
        <v>0</v>
      </c>
      <c r="I183" s="32" t="n">
        <v>1</v>
      </c>
      <c r="J183" s="32" t="str">
        <f aca="false">IF($B$5="","",IF($B$5="ORD",D183,IF($B$5="CON",E183,IF($B$5="AGI",F183,G183))))</f>
        <v>X</v>
      </c>
      <c r="K183" s="32" t="n">
        <f aca="false">IF(OR(H183=0,I183=0,J183=""),0,IF(IF(J183="X",1,IF(J183="P",$B$6,IF(J183="C",$B$7,IF(J183="DR",$B$8,IF(J183="T",$B$9,0)))))=1,1,0))</f>
        <v>0</v>
      </c>
      <c r="L183" s="32" t="str">
        <f aca="false">IF(K183=0,"",IF(LEN(TRIM(Scheda_1!$D$172&amp;""))=0,"MANCANTE",IF(LEFT(LOWER(TRIM(Scheda_1!$D$172&amp;"")),7)="non not","NON NOTO","ok")))</f>
        <v/>
      </c>
    </row>
    <row r="184" customFormat="false" ht="15" hidden="false" customHeight="false" outlineLevel="0" collapsed="false">
      <c r="A184" s="16" t="s">
        <v>544</v>
      </c>
      <c r="B184" s="31" t="s">
        <v>545</v>
      </c>
      <c r="C184" s="16" t="s">
        <v>539</v>
      </c>
      <c r="D184" s="32" t="s">
        <v>795</v>
      </c>
      <c r="E184" s="32" t="s">
        <v>795</v>
      </c>
      <c r="F184" s="32"/>
      <c r="G184" s="32" t="s">
        <v>795</v>
      </c>
      <c r="H184" s="32" t="n">
        <f aca="false">IF(Scheda_1!$D$171="Sì",1,0)</f>
        <v>0</v>
      </c>
      <c r="I184" s="32" t="n">
        <v>1</v>
      </c>
      <c r="J184" s="32" t="str">
        <f aca="false">IF($B$5="","",IF($B$5="ORD",D184,IF($B$5="CON",E184,IF($B$5="AGI",F184,G184))))</f>
        <v>X</v>
      </c>
      <c r="K184" s="32" t="n">
        <f aca="false">IF(OR(H184=0,I184=0,J184=""),0,IF(IF(J184="X",1,IF(J184="P",$B$6,IF(J184="C",$B$7,IF(J184="DR",$B$8,IF(J184="T",$B$9,0)))))=1,1,0))</f>
        <v>0</v>
      </c>
      <c r="L184" s="32" t="str">
        <f aca="false">IF(K184=0,"",IF(LEN(TRIM(Scheda_1!$D$173&amp;""))=0,"MANCANTE",IF(LEFT(LOWER(TRIM(Scheda_1!$D$173&amp;"")),7)="non not","NON NOTO","ok")))</f>
        <v/>
      </c>
    </row>
    <row r="185" customFormat="false" ht="15" hidden="false" customHeight="false" outlineLevel="0" collapsed="false">
      <c r="A185" s="16" t="s">
        <v>547</v>
      </c>
      <c r="B185" s="31" t="s">
        <v>548</v>
      </c>
      <c r="C185" s="16" t="s">
        <v>539</v>
      </c>
      <c r="D185" s="32" t="s">
        <v>795</v>
      </c>
      <c r="E185" s="32" t="s">
        <v>795</v>
      </c>
      <c r="F185" s="32"/>
      <c r="G185" s="32" t="s">
        <v>795</v>
      </c>
      <c r="H185" s="32" t="n">
        <f aca="false">IF(Scheda_1!$D$171="Sì",1,0)</f>
        <v>0</v>
      </c>
      <c r="I185" s="32" t="n">
        <v>1</v>
      </c>
      <c r="J185" s="32" t="str">
        <f aca="false">IF($B$5="","",IF($B$5="ORD",D185,IF($B$5="CON",E185,IF($B$5="AGI",F185,G185))))</f>
        <v>X</v>
      </c>
      <c r="K185" s="32" t="n">
        <f aca="false">IF(OR(H185=0,I185=0,J185=""),0,IF(IF(J185="X",1,IF(J185="P",$B$6,IF(J185="C",$B$7,IF(J185="DR",$B$8,IF(J185="T",$B$9,0)))))=1,1,0))</f>
        <v>0</v>
      </c>
      <c r="L185" s="32" t="str">
        <f aca="false">IF(K185=0,"",IF(LEN(TRIM(Scheda_1!$D$174&amp;""))=0,"MANCANTE",IF(LEFT(LOWER(TRIM(Scheda_1!$D$174&amp;"")),7)="non not","NON NOTO","ok")))</f>
        <v/>
      </c>
    </row>
    <row r="186" customFormat="false" ht="15" hidden="false" customHeight="false" outlineLevel="0" collapsed="false">
      <c r="A186" s="16" t="s">
        <v>550</v>
      </c>
      <c r="B186" s="31" t="s">
        <v>551</v>
      </c>
      <c r="C186" s="16" t="s">
        <v>539</v>
      </c>
      <c r="D186" s="32" t="s">
        <v>795</v>
      </c>
      <c r="E186" s="32" t="s">
        <v>795</v>
      </c>
      <c r="F186" s="32"/>
      <c r="G186" s="32" t="s">
        <v>795</v>
      </c>
      <c r="H186" s="32" t="n">
        <f aca="false">IF(Scheda_1!$D$171="Sì",1,0)</f>
        <v>0</v>
      </c>
      <c r="I186" s="32" t="n">
        <f aca="false">IF(Scheda_1!$D$172="Piscina interrata",1,0)</f>
        <v>0</v>
      </c>
      <c r="J186" s="32" t="str">
        <f aca="false">IF($B$5="","",IF($B$5="ORD",D186,IF($B$5="CON",E186,IF($B$5="AGI",F186,G186))))</f>
        <v>X</v>
      </c>
      <c r="K186" s="32" t="n">
        <f aca="false">IF(OR(H186=0,I186=0,J186=""),0,IF(IF(J186="X",1,IF(J186="P",$B$6,IF(J186="C",$B$7,IF(J186="DR",$B$8,IF(J186="T",$B$9,0)))))=1,1,0))</f>
        <v>0</v>
      </c>
      <c r="L186" s="32" t="str">
        <f aca="false">IF(K186=0,"",IF(LEN(TRIM(Scheda_1!$D$175&amp;""))=0,"MANCANTE",IF(LEFT(LOWER(TRIM(Scheda_1!$D$175&amp;"")),7)="non not","NON NOTO","ok")))</f>
        <v/>
      </c>
    </row>
    <row r="187" customFormat="false" ht="15" hidden="false" customHeight="false" outlineLevel="0" collapsed="false">
      <c r="A187" s="16" t="s">
        <v>554</v>
      </c>
      <c r="B187" s="31" t="s">
        <v>555</v>
      </c>
      <c r="C187" s="16" t="s">
        <v>539</v>
      </c>
      <c r="D187" s="32" t="s">
        <v>795</v>
      </c>
      <c r="E187" s="32" t="s">
        <v>795</v>
      </c>
      <c r="F187" s="32"/>
      <c r="G187" s="32" t="s">
        <v>795</v>
      </c>
      <c r="H187" s="32" t="n">
        <f aca="false">IF(Scheda_1!$D$171="Sì",1,0)</f>
        <v>0</v>
      </c>
      <c r="I187" s="32" t="n">
        <f aca="false">IF(Scheda_1!$D$172="Piscina interrata",1,0)</f>
        <v>0</v>
      </c>
      <c r="J187" s="32" t="str">
        <f aca="false">IF($B$5="","",IF($B$5="ORD",D187,IF($B$5="CON",E187,IF($B$5="AGI",F187,G187))))</f>
        <v>X</v>
      </c>
      <c r="K187" s="32" t="n">
        <f aca="false">IF(OR(H187=0,I187=0,J187=""),0,IF(IF(J187="X",1,IF(J187="P",$B$6,IF(J187="C",$B$7,IF(J187="DR",$B$8,IF(J187="T",$B$9,0)))))=1,1,0))</f>
        <v>0</v>
      </c>
      <c r="L187" s="32" t="str">
        <f aca="false">IF(K187=0,"",IF(LEN(TRIM(Scheda_1!$D$176&amp;""))=0,"MANCANTE",IF(LEFT(LOWER(TRIM(Scheda_1!$D$176&amp;"")),7)="non not","NON NOTO","ok")))</f>
        <v/>
      </c>
    </row>
    <row r="188" customFormat="false" ht="15" hidden="false" customHeight="false" outlineLevel="0" collapsed="false">
      <c r="A188" s="16" t="s">
        <v>557</v>
      </c>
      <c r="B188" s="31" t="s">
        <v>558</v>
      </c>
      <c r="C188" s="16" t="s">
        <v>539</v>
      </c>
      <c r="D188" s="32" t="s">
        <v>795</v>
      </c>
      <c r="E188" s="32" t="s">
        <v>795</v>
      </c>
      <c r="F188" s="32"/>
      <c r="G188" s="32" t="s">
        <v>795</v>
      </c>
      <c r="H188" s="32" t="n">
        <f aca="false">IF(Scheda_1!$D$171="Sì",1,0)</f>
        <v>0</v>
      </c>
      <c r="I188" s="32" t="n">
        <f aca="false">IF(Scheda_1!$D$172="Muro di cinta / recinzione",1,0)</f>
        <v>0</v>
      </c>
      <c r="J188" s="32" t="str">
        <f aca="false">IF($B$5="","",IF($B$5="ORD",D188,IF($B$5="CON",E188,IF($B$5="AGI",F188,G188))))</f>
        <v>X</v>
      </c>
      <c r="K188" s="32" t="n">
        <f aca="false">IF(OR(H188=0,I188=0,J188=""),0,IF(IF(J188="X",1,IF(J188="P",$B$6,IF(J188="C",$B$7,IF(J188="DR",$B$8,IF(J188="T",$B$9,0)))))=1,1,0))</f>
        <v>0</v>
      </c>
      <c r="L188" s="32" t="str">
        <f aca="false">IF(K188=0,"",IF(LEN(TRIM(Scheda_1!$D$177&amp;""))=0,"MANCANTE",IF(LEFT(LOWER(TRIM(Scheda_1!$D$177&amp;"")),7)="non not","NON NOTO","ok")))</f>
        <v/>
      </c>
    </row>
    <row r="189" customFormat="false" ht="15" hidden="false" customHeight="false" outlineLevel="0" collapsed="false">
      <c r="A189" s="16" t="s">
        <v>560</v>
      </c>
      <c r="B189" s="31" t="s">
        <v>561</v>
      </c>
      <c r="C189" s="16" t="s">
        <v>539</v>
      </c>
      <c r="D189" s="32" t="s">
        <v>795</v>
      </c>
      <c r="E189" s="32" t="s">
        <v>795</v>
      </c>
      <c r="F189" s="32"/>
      <c r="G189" s="32" t="s">
        <v>795</v>
      </c>
      <c r="H189" s="32" t="n">
        <f aca="false">IF(Scheda_1!$D$171="Sì",1,0)</f>
        <v>0</v>
      </c>
      <c r="I189" s="32" t="n">
        <f aca="false">IF(Scheda_1!$D$172="Muro di cinta / recinzione",1,0)</f>
        <v>0</v>
      </c>
      <c r="J189" s="32" t="str">
        <f aca="false">IF($B$5="","",IF($B$5="ORD",D189,IF($B$5="CON",E189,IF($B$5="AGI",F189,G189))))</f>
        <v>X</v>
      </c>
      <c r="K189" s="32" t="n">
        <f aca="false">IF(OR(H189=0,I189=0,J189=""),0,IF(IF(J189="X",1,IF(J189="P",$B$6,IF(J189="C",$B$7,IF(J189="DR",$B$8,IF(J189="T",$B$9,0)))))=1,1,0))</f>
        <v>0</v>
      </c>
      <c r="L189" s="32" t="str">
        <f aca="false">IF(K189=0,"",IF(LEN(TRIM(Scheda_1!$D$178&amp;""))=0,"MANCANTE",IF(LEFT(LOWER(TRIM(Scheda_1!$D$178&amp;"")),7)="non not","NON NOTO","ok")))</f>
        <v/>
      </c>
    </row>
    <row r="190" customFormat="false" ht="15" hidden="false" customHeight="false" outlineLevel="0" collapsed="false">
      <c r="A190" s="16" t="s">
        <v>562</v>
      </c>
      <c r="B190" s="31" t="s">
        <v>563</v>
      </c>
      <c r="C190" s="16" t="s">
        <v>539</v>
      </c>
      <c r="D190" s="32" t="s">
        <v>795</v>
      </c>
      <c r="E190" s="32" t="s">
        <v>795</v>
      </c>
      <c r="F190" s="32"/>
      <c r="G190" s="32" t="s">
        <v>795</v>
      </c>
      <c r="H190" s="32" t="n">
        <f aca="false">IF(Scheda_1!$D$171="Sì",1,0)</f>
        <v>0</v>
      </c>
      <c r="I190" s="32" t="n">
        <f aca="false">IF(Scheda_1!$D$172="Recupero abitativo del sottotetto",1,0)</f>
        <v>0</v>
      </c>
      <c r="J190" s="32" t="str">
        <f aca="false">IF($B$5="","",IF($B$5="ORD",D190,IF($B$5="CON",E190,IF($B$5="AGI",F190,G190))))</f>
        <v>X</v>
      </c>
      <c r="K190" s="32" t="n">
        <f aca="false">IF(OR(H190=0,I190=0,J190=""),0,IF(IF(J190="X",1,IF(J190="P",$B$6,IF(J190="C",$B$7,IF(J190="DR",$B$8,IF(J190="T",$B$9,0)))))=1,1,0))</f>
        <v>0</v>
      </c>
      <c r="L190" s="32" t="str">
        <f aca="false">IF(K190=0,"",IF(LEN(TRIM(Scheda_1!$D$179&amp;""))=0,"MANCANTE",IF(LEFT(LOWER(TRIM(Scheda_1!$D$179&amp;"")),7)="non not","NON NOTO","ok")))</f>
        <v/>
      </c>
    </row>
    <row r="191" customFormat="false" ht="15" hidden="false" customHeight="false" outlineLevel="0" collapsed="false">
      <c r="A191" s="16" t="s">
        <v>566</v>
      </c>
      <c r="B191" s="31" t="s">
        <v>567</v>
      </c>
      <c r="C191" s="16" t="s">
        <v>539</v>
      </c>
      <c r="D191" s="32" t="s">
        <v>795</v>
      </c>
      <c r="E191" s="32" t="s">
        <v>795</v>
      </c>
      <c r="F191" s="32"/>
      <c r="G191" s="32" t="s">
        <v>795</v>
      </c>
      <c r="H191" s="32" t="n">
        <f aca="false">IF(Scheda_1!$D$171="Sì",1,0)</f>
        <v>0</v>
      </c>
      <c r="I191" s="32" t="n">
        <f aca="false">IF(Scheda_1!$D$172="Recupero abitativo del sottotetto",1,0)</f>
        <v>0</v>
      </c>
      <c r="J191" s="32" t="str">
        <f aca="false">IF($B$5="","",IF($B$5="ORD",D191,IF($B$5="CON",E191,IF($B$5="AGI",F191,G191))))</f>
        <v>X</v>
      </c>
      <c r="K191" s="32" t="n">
        <f aca="false">IF(OR(H191=0,I191=0,J191=""),0,IF(IF(J191="X",1,IF(J191="P",$B$6,IF(J191="C",$B$7,IF(J191="DR",$B$8,IF(J191="T",$B$9,0)))))=1,1,0))</f>
        <v>0</v>
      </c>
      <c r="L191" s="32" t="str">
        <f aca="false">IF(K191=0,"",IF(LEN(TRIM(Scheda_1!$D$180&amp;""))=0,"MANCANTE",IF(LEFT(LOWER(TRIM(Scheda_1!$D$180&amp;"")),7)="non not","NON NOTO","ok")))</f>
        <v/>
      </c>
    </row>
    <row r="192" customFormat="false" ht="15" hidden="false" customHeight="false" outlineLevel="0" collapsed="false">
      <c r="A192" s="16" t="s">
        <v>569</v>
      </c>
      <c r="B192" s="31" t="s">
        <v>570</v>
      </c>
      <c r="C192" s="16" t="s">
        <v>539</v>
      </c>
      <c r="D192" s="32" t="s">
        <v>795</v>
      </c>
      <c r="E192" s="32" t="s">
        <v>795</v>
      </c>
      <c r="F192" s="32"/>
      <c r="G192" s="32" t="s">
        <v>795</v>
      </c>
      <c r="H192" s="32" t="n">
        <f aca="false">IF(Scheda_1!$D$171="Sì",1,0)</f>
        <v>0</v>
      </c>
      <c r="I192" s="32" t="n">
        <f aca="false">IF(Scheda_1!$D$172="Recupero abitativo del sottotetto",1,0)</f>
        <v>0</v>
      </c>
      <c r="J192" s="32" t="str">
        <f aca="false">IF($B$5="","",IF($B$5="ORD",D192,IF($B$5="CON",E192,IF($B$5="AGI",F192,G192))))</f>
        <v>X</v>
      </c>
      <c r="K192" s="32" t="n">
        <f aca="false">IF(OR(H192=0,I192=0,J192=""),0,IF(IF(J192="X",1,IF(J192="P",$B$6,IF(J192="C",$B$7,IF(J192="DR",$B$8,IF(J192="T",$B$9,0)))))=1,1,0))</f>
        <v>0</v>
      </c>
      <c r="L192" s="32" t="str">
        <f aca="false">IF(K192=0,"",IF(LEN(TRIM(Scheda_1!$D$181&amp;""))=0,"MANCANTE",IF(LEFT(LOWER(TRIM(Scheda_1!$D$181&amp;"")),7)="non not","NON NOTO","ok")))</f>
        <v/>
      </c>
    </row>
    <row r="193" customFormat="false" ht="15" hidden="false" customHeight="false" outlineLevel="0" collapsed="false">
      <c r="A193" s="16" t="s">
        <v>572</v>
      </c>
      <c r="B193" s="31" t="s">
        <v>573</v>
      </c>
      <c r="C193" s="16" t="s">
        <v>539</v>
      </c>
      <c r="D193" s="32" t="s">
        <v>795</v>
      </c>
      <c r="E193" s="32" t="s">
        <v>795</v>
      </c>
      <c r="F193" s="32"/>
      <c r="G193" s="32" t="s">
        <v>795</v>
      </c>
      <c r="H193" s="32" t="n">
        <f aca="false">IF(Scheda_1!$D$171="Sì",1,0)</f>
        <v>0</v>
      </c>
      <c r="I193" s="32" t="n">
        <f aca="false">IF(Scheda_1!$D$172="Recupero abitativo del sottotetto",1,0)</f>
        <v>0</v>
      </c>
      <c r="J193" s="32" t="str">
        <f aca="false">IF($B$5="","",IF($B$5="ORD",D193,IF($B$5="CON",E193,IF($B$5="AGI",F193,G193))))</f>
        <v>X</v>
      </c>
      <c r="K193" s="32" t="n">
        <f aca="false">IF(OR(H193=0,I193=0,J193=""),0,IF(IF(J193="X",1,IF(J193="P",$B$6,IF(J193="C",$B$7,IF(J193="DR",$B$8,IF(J193="T",$B$9,0)))))=1,1,0))</f>
        <v>0</v>
      </c>
      <c r="L193" s="32" t="str">
        <f aca="false">IF(K193=0,"",IF(LEN(TRIM(Scheda_1!$D$182&amp;""))=0,"MANCANTE",IF(LEFT(LOWER(TRIM(Scheda_1!$D$182&amp;"")),7)="non not","NON NOTO","ok")))</f>
        <v/>
      </c>
    </row>
    <row r="194" customFormat="false" ht="15" hidden="false" customHeight="false" outlineLevel="0" collapsed="false">
      <c r="A194" s="16" t="s">
        <v>575</v>
      </c>
      <c r="B194" s="31" t="s">
        <v>576</v>
      </c>
      <c r="C194" s="16" t="s">
        <v>539</v>
      </c>
      <c r="D194" s="32" t="s">
        <v>795</v>
      </c>
      <c r="E194" s="32" t="s">
        <v>795</v>
      </c>
      <c r="F194" s="32"/>
      <c r="G194" s="32" t="s">
        <v>795</v>
      </c>
      <c r="H194" s="32" t="n">
        <f aca="false">IF(Scheda_1!$D$171="Sì",1,0)</f>
        <v>0</v>
      </c>
      <c r="I194" s="32" t="n">
        <f aca="false">IF(Scheda_1!$D$172="Recupero abitativo del sottotetto",1,0)</f>
        <v>0</v>
      </c>
      <c r="J194" s="32" t="str">
        <f aca="false">IF($B$5="","",IF($B$5="ORD",D194,IF($B$5="CON",E194,IF($B$5="AGI",F194,G194))))</f>
        <v>X</v>
      </c>
      <c r="K194" s="32" t="n">
        <f aca="false">IF(OR(H194=0,I194=0,J194=""),0,IF(IF(J194="X",1,IF(J194="P",$B$6,IF(J194="C",$B$7,IF(J194="DR",$B$8,IF(J194="T",$B$9,0)))))=1,1,0))</f>
        <v>0</v>
      </c>
      <c r="L194" s="32" t="str">
        <f aca="false">IF(K194=0,"",IF(LEN(TRIM(Scheda_1!$D$183&amp;""))=0,"MANCANTE",IF(LEFT(LOWER(TRIM(Scheda_1!$D$183&amp;"")),7)="non not","NON NOTO","ok")))</f>
        <v/>
      </c>
    </row>
    <row r="195" customFormat="false" ht="15" hidden="false" customHeight="false" outlineLevel="0" collapsed="false">
      <c r="A195" s="16" t="s">
        <v>577</v>
      </c>
      <c r="B195" s="31" t="s">
        <v>578</v>
      </c>
      <c r="C195" s="16" t="s">
        <v>539</v>
      </c>
      <c r="D195" s="32" t="s">
        <v>795</v>
      </c>
      <c r="E195" s="32" t="s">
        <v>795</v>
      </c>
      <c r="F195" s="32"/>
      <c r="G195" s="32" t="s">
        <v>795</v>
      </c>
      <c r="H195" s="32" t="n">
        <f aca="false">IF(Scheda_1!$D$171="Sì",1,0)</f>
        <v>0</v>
      </c>
      <c r="I195" s="32" t="n">
        <f aca="false">IF(Scheda_1!$D$172="Recupero abitativo del sottotetto",1,0)</f>
        <v>0</v>
      </c>
      <c r="J195" s="32" t="str">
        <f aca="false">IF($B$5="","",IF($B$5="ORD",D195,IF($B$5="CON",E195,IF($B$5="AGI",F195,G195))))</f>
        <v>X</v>
      </c>
      <c r="K195" s="32" t="n">
        <f aca="false">IF(OR(H195=0,I195=0,J195=""),0,IF(IF(J195="X",1,IF(J195="P",$B$6,IF(J195="C",$B$7,IF(J195="DR",$B$8,IF(J195="T",$B$9,0)))))=1,1,0))</f>
        <v>0</v>
      </c>
      <c r="L195" s="32" t="str">
        <f aca="false">IF(K195=0,"",IF(LEN(TRIM(Scheda_1!$D$184&amp;""))=0,"MANCANTE",IF(LEFT(LOWER(TRIM(Scheda_1!$D$184&amp;"")),7)="non not","NON NOTO","ok")))</f>
        <v/>
      </c>
    </row>
    <row r="196" customFormat="false" ht="15" hidden="false" customHeight="false" outlineLevel="0" collapsed="false">
      <c r="A196" s="16" t="s">
        <v>580</v>
      </c>
      <c r="B196" s="31" t="s">
        <v>581</v>
      </c>
      <c r="C196" s="16" t="s">
        <v>539</v>
      </c>
      <c r="D196" s="32" t="s">
        <v>795</v>
      </c>
      <c r="E196" s="32" t="s">
        <v>795</v>
      </c>
      <c r="F196" s="32"/>
      <c r="G196" s="32" t="s">
        <v>795</v>
      </c>
      <c r="H196" s="32" t="n">
        <f aca="false">IF(Scheda_1!$D$171="Sì",1,0)</f>
        <v>0</v>
      </c>
      <c r="I196" s="32" t="n">
        <f aca="false">IF(Scheda_1!$D$172="Recupero abitativo del sottotetto",1,0)</f>
        <v>0</v>
      </c>
      <c r="J196" s="32" t="str">
        <f aca="false">IF($B$5="","",IF($B$5="ORD",D196,IF($B$5="CON",E196,IF($B$5="AGI",F196,G196))))</f>
        <v>X</v>
      </c>
      <c r="K196" s="32" t="n">
        <f aca="false">IF(OR(H196=0,I196=0,J196=""),0,IF(IF(J196="X",1,IF(J196="P",$B$6,IF(J196="C",$B$7,IF(J196="DR",$B$8,IF(J196="T",$B$9,0)))))=1,1,0))</f>
        <v>0</v>
      </c>
      <c r="L196" s="32" t="str">
        <f aca="false">IF(K196=0,"",IF(LEN(TRIM(Scheda_1!$D$185&amp;""))=0,"MANCANTE",IF(LEFT(LOWER(TRIM(Scheda_1!$D$185&amp;"")),7)="non not","NON NOTO","ok")))</f>
        <v/>
      </c>
    </row>
    <row r="197" customFormat="false" ht="15" hidden="false" customHeight="false" outlineLevel="0" collapsed="false">
      <c r="A197" s="16" t="s">
        <v>583</v>
      </c>
      <c r="B197" s="31" t="s">
        <v>584</v>
      </c>
      <c r="C197" s="16" t="s">
        <v>539</v>
      </c>
      <c r="D197" s="32" t="s">
        <v>795</v>
      </c>
      <c r="E197" s="32" t="s">
        <v>795</v>
      </c>
      <c r="F197" s="32"/>
      <c r="G197" s="32" t="s">
        <v>795</v>
      </c>
      <c r="H197" s="32" t="n">
        <f aca="false">IF(Scheda_1!$D$171="Sì",1,0)</f>
        <v>0</v>
      </c>
      <c r="I197" s="32" t="n">
        <f aca="false">IF(Scheda_1!$D$172="Recupero abitativo del sottotetto",1,0)</f>
        <v>0</v>
      </c>
      <c r="J197" s="32" t="str">
        <f aca="false">IF($B$5="","",IF($B$5="ORD",D197,IF($B$5="CON",E197,IF($B$5="AGI",F197,G197))))</f>
        <v>X</v>
      </c>
      <c r="K197" s="32" t="n">
        <f aca="false">IF(OR(H197=0,I197=0,J197=""),0,IF(IF(J197="X",1,IF(J197="P",$B$6,IF(J197="C",$B$7,IF(J197="DR",$B$8,IF(J197="T",$B$9,0)))))=1,1,0))</f>
        <v>0</v>
      </c>
      <c r="L197" s="32" t="str">
        <f aca="false">IF(K197=0,"",IF(LEN(TRIM(Scheda_1!$D$186&amp;""))=0,"MANCANTE",IF(LEFT(LOWER(TRIM(Scheda_1!$D$186&amp;"")),7)="non not","NON NOTO","ok")))</f>
        <v/>
      </c>
    </row>
    <row r="198" customFormat="false" ht="15" hidden="false" customHeight="false" outlineLevel="0" collapsed="false">
      <c r="A198" s="16" t="s">
        <v>585</v>
      </c>
      <c r="B198" s="31" t="s">
        <v>586</v>
      </c>
      <c r="C198" s="16" t="s">
        <v>539</v>
      </c>
      <c r="D198" s="32" t="s">
        <v>795</v>
      </c>
      <c r="E198" s="32" t="s">
        <v>795</v>
      </c>
      <c r="F198" s="32"/>
      <c r="G198" s="32" t="s">
        <v>795</v>
      </c>
      <c r="H198" s="32" t="n">
        <f aca="false">IF(Scheda_1!$D$171="Sì",1,0)</f>
        <v>0</v>
      </c>
      <c r="I198" s="32" t="n">
        <f aca="false">IF(Scheda_1!$D$172="Recupero abitativo del sottotetto",1,0)</f>
        <v>0</v>
      </c>
      <c r="J198" s="32" t="str">
        <f aca="false">IF($B$5="","",IF($B$5="ORD",D198,IF($B$5="CON",E198,IF($B$5="AGI",F198,G198))))</f>
        <v>X</v>
      </c>
      <c r="K198" s="32" t="n">
        <f aca="false">IF(OR(H198=0,I198=0,J198=""),0,IF(IF(J198="X",1,IF(J198="P",$B$6,IF(J198="C",$B$7,IF(J198="DR",$B$8,IF(J198="T",$B$9,0)))))=1,1,0))</f>
        <v>0</v>
      </c>
      <c r="L198" s="32" t="str">
        <f aca="false">IF(K198=0,"",IF(LEN(TRIM(Scheda_1!$D$187&amp;""))=0,"MANCANTE",IF(LEFT(LOWER(TRIM(Scheda_1!$D$187&amp;"")),7)="non not","NON NOTO","ok")))</f>
        <v/>
      </c>
    </row>
    <row r="199" customFormat="false" ht="15" hidden="false" customHeight="false" outlineLevel="0" collapsed="false">
      <c r="A199" s="16" t="s">
        <v>587</v>
      </c>
      <c r="B199" s="31" t="s">
        <v>588</v>
      </c>
      <c r="C199" s="16" t="s">
        <v>539</v>
      </c>
      <c r="D199" s="32" t="s">
        <v>795</v>
      </c>
      <c r="E199" s="32" t="s">
        <v>795</v>
      </c>
      <c r="F199" s="32"/>
      <c r="G199" s="32" t="s">
        <v>795</v>
      </c>
      <c r="H199" s="32" t="n">
        <f aca="false">IF(Scheda_1!$D$171="Sì",1,0)</f>
        <v>0</v>
      </c>
      <c r="I199" s="32" t="n">
        <f aca="false">IF(Scheda_1!$D$172="Recupero abitativo del sottotetto",1,0)</f>
        <v>0</v>
      </c>
      <c r="J199" s="32" t="str">
        <f aca="false">IF($B$5="","",IF($B$5="ORD",D199,IF($B$5="CON",E199,IF($B$5="AGI",F199,G199))))</f>
        <v>X</v>
      </c>
      <c r="K199" s="32" t="n">
        <f aca="false">IF(OR(H199=0,I199=0,J199=""),0,IF(IF(J199="X",1,IF(J199="P",$B$6,IF(J199="C",$B$7,IF(J199="DR",$B$8,IF(J199="T",$B$9,0)))))=1,1,0))</f>
        <v>0</v>
      </c>
      <c r="L199" s="32" t="str">
        <f aca="false">IF(K199=0,"",IF(LEN(TRIM(Scheda_1!$D$188&amp;""))=0,"MANCANTE",IF(LEFT(LOWER(TRIM(Scheda_1!$D$188&amp;"")),7)="non not","NON NOTO","ok")))</f>
        <v/>
      </c>
    </row>
    <row r="200" customFormat="false" ht="15" hidden="false" customHeight="false" outlineLevel="0" collapsed="false">
      <c r="A200" s="16" t="s">
        <v>589</v>
      </c>
      <c r="B200" s="31" t="s">
        <v>590</v>
      </c>
      <c r="C200" s="16" t="s">
        <v>539</v>
      </c>
      <c r="D200" s="32" t="s">
        <v>795</v>
      </c>
      <c r="E200" s="32" t="s">
        <v>795</v>
      </c>
      <c r="F200" s="32"/>
      <c r="G200" s="32" t="s">
        <v>795</v>
      </c>
      <c r="H200" s="32" t="n">
        <f aca="false">IF(Scheda_1!$D$171="Sì",1,0)</f>
        <v>0</v>
      </c>
      <c r="I200" s="32" t="n">
        <f aca="false">IF(Scheda_1!$D$172="Delocalizzazione dalla zona rossa",1,0)</f>
        <v>0</v>
      </c>
      <c r="J200" s="32" t="str">
        <f aca="false">IF($B$5="","",IF($B$5="ORD",D200,IF($B$5="CON",E200,IF($B$5="AGI",F200,G200))))</f>
        <v>X</v>
      </c>
      <c r="K200" s="32" t="n">
        <f aca="false">IF(OR(H200=0,I200=0,J200=""),0,IF(IF(J200="X",1,IF(J200="P",$B$6,IF(J200="C",$B$7,IF(J200="DR",$B$8,IF(J200="T",$B$9,0)))))=1,1,0))</f>
        <v>0</v>
      </c>
      <c r="L200" s="32" t="str">
        <f aca="false">IF(K200=0,"",IF(LEN(TRIM(Scheda_1!$D$189&amp;""))=0,"MANCANTE",IF(LEFT(LOWER(TRIM(Scheda_1!$D$189&amp;"")),7)="non not","NON NOTO","ok")))</f>
        <v/>
      </c>
    </row>
    <row r="201" customFormat="false" ht="15" hidden="false" customHeight="false" outlineLevel="0" collapsed="false">
      <c r="A201" s="16" t="s">
        <v>593</v>
      </c>
      <c r="B201" s="31" t="s">
        <v>594</v>
      </c>
      <c r="C201" s="16" t="s">
        <v>539</v>
      </c>
      <c r="D201" s="32" t="s">
        <v>795</v>
      </c>
      <c r="E201" s="32" t="s">
        <v>795</v>
      </c>
      <c r="F201" s="32"/>
      <c r="G201" s="32" t="s">
        <v>795</v>
      </c>
      <c r="H201" s="32" t="n">
        <f aca="false">IF(Scheda_1!$D$171="Sì",1,0)</f>
        <v>0</v>
      </c>
      <c r="I201" s="32" t="n">
        <f aca="false">IF(Scheda_1!$D$172="Delocalizzazione dalla zona rossa",1,0)</f>
        <v>0</v>
      </c>
      <c r="J201" s="32" t="str">
        <f aca="false">IF($B$5="","",IF($B$5="ORD",D201,IF($B$5="CON",E201,IF($B$5="AGI",F201,G201))))</f>
        <v>X</v>
      </c>
      <c r="K201" s="32" t="n">
        <f aca="false">IF(OR(H201=0,I201=0,J201=""),0,IF(IF(J201="X",1,IF(J201="P",$B$6,IF(J201="C",$B$7,IF(J201="DR",$B$8,IF(J201="T",$B$9,0)))))=1,1,0))</f>
        <v>0</v>
      </c>
      <c r="L201" s="32" t="str">
        <f aca="false">IF(K201=0,"",IF(LEN(TRIM(Scheda_1!$D$190&amp;""))=0,"MANCANTE",IF(LEFT(LOWER(TRIM(Scheda_1!$D$190&amp;"")),7)="non not","NON NOTO","ok")))</f>
        <v/>
      </c>
    </row>
    <row r="202" customFormat="false" ht="15" hidden="false" customHeight="false" outlineLevel="0" collapsed="false">
      <c r="A202" s="16" t="s">
        <v>598</v>
      </c>
      <c r="B202" s="31" t="s">
        <v>600</v>
      </c>
      <c r="C202" s="16" t="s">
        <v>599</v>
      </c>
      <c r="D202" s="32" t="s">
        <v>795</v>
      </c>
      <c r="E202" s="32" t="s">
        <v>795</v>
      </c>
      <c r="F202" s="32" t="s">
        <v>795</v>
      </c>
      <c r="G202" s="32" t="s">
        <v>795</v>
      </c>
      <c r="H202" s="32" t="n">
        <v>1</v>
      </c>
      <c r="I202" s="32" t="n">
        <v>1</v>
      </c>
      <c r="J202" s="32" t="str">
        <f aca="false">IF($B$5="","",IF($B$5="ORD",D202,IF($B$5="CON",E202,IF($B$5="AGI",F202,G202))))</f>
        <v>X</v>
      </c>
      <c r="K202" s="32" t="n">
        <f aca="false">IF(H202=1,1,0)</f>
        <v>1</v>
      </c>
      <c r="L202" s="32" t="str">
        <f aca="false">IF(K202=0,"",IF(LEN(TRIM(Scheda_1!$D$193&amp;""))=0,"MANCANTE",IF(LEFT(LOWER(TRIM(Scheda_1!$D$193&amp;"")),7)="non not","NON NOTO","ok")))</f>
        <v>ok</v>
      </c>
    </row>
    <row r="203" customFormat="false" ht="15" hidden="false" customHeight="false" outlineLevel="0" collapsed="false">
      <c r="A203" s="16" t="s">
        <v>601</v>
      </c>
      <c r="B203" s="31" t="s">
        <v>602</v>
      </c>
      <c r="C203" s="16" t="s">
        <v>599</v>
      </c>
      <c r="D203" s="32" t="s">
        <v>795</v>
      </c>
      <c r="E203" s="32" t="s">
        <v>795</v>
      </c>
      <c r="F203" s="32"/>
      <c r="G203" s="32" t="s">
        <v>795</v>
      </c>
      <c r="H203" s="32" t="n">
        <f aca="false">IF(Scheda_1!$D$193="Sì",1,0)</f>
        <v>0</v>
      </c>
      <c r="I203" s="32" t="n">
        <v>1</v>
      </c>
      <c r="J203" s="32" t="str">
        <f aca="false">IF($B$5="","",IF($B$5="ORD",D203,IF($B$5="CON",E203,IF($B$5="AGI",F203,G203))))</f>
        <v>X</v>
      </c>
      <c r="K203" s="32" t="n">
        <f aca="false">IF(OR(H203=0,I203=0,J203=""),0,IF(IF(J203="X",1,IF(J203="P",$B$6,IF(J203="C",$B$7,IF(J203="DR",$B$8,IF(J203="T",$B$9,0)))))=1,1,0))</f>
        <v>0</v>
      </c>
      <c r="L203" s="32" t="str">
        <f aca="false">IF(K203=0,"",IF(LEN(TRIM(Scheda_1!$D$194&amp;""))=0,"MANCANTE",IF(LEFT(LOWER(TRIM(Scheda_1!$D$194&amp;"")),7)="non not","NON NOTO","ok")))</f>
        <v/>
      </c>
    </row>
    <row r="204" customFormat="false" ht="15" hidden="false" customHeight="false" outlineLevel="0" collapsed="false">
      <c r="A204" s="16" t="s">
        <v>604</v>
      </c>
      <c r="B204" s="31" t="s">
        <v>605</v>
      </c>
      <c r="C204" s="16" t="s">
        <v>599</v>
      </c>
      <c r="D204" s="32" t="s">
        <v>795</v>
      </c>
      <c r="E204" s="32" t="s">
        <v>795</v>
      </c>
      <c r="F204" s="32"/>
      <c r="G204" s="32" t="s">
        <v>795</v>
      </c>
      <c r="H204" s="32" t="n">
        <f aca="false">IF(Scheda_1!$D$193="Sì",1,0)</f>
        <v>0</v>
      </c>
      <c r="I204" s="32" t="n">
        <f aca="false">IF(LEFT(Scheda_1!$D$194,12)="Residenziale",1,0)</f>
        <v>0</v>
      </c>
      <c r="J204" s="32" t="str">
        <f aca="false">IF($B$5="","",IF($B$5="ORD",D204,IF($B$5="CON",E204,IF($B$5="AGI",F204,G204))))</f>
        <v>X</v>
      </c>
      <c r="K204" s="32" t="n">
        <f aca="false">IF(OR(H204=0,I204=0,J204=""),0,IF(IF(J204="X",1,IF(J204="P",$B$6,IF(J204="C",$B$7,IF(J204="DR",$B$8,IF(J204="T",$B$9,0)))))=1,1,0))</f>
        <v>0</v>
      </c>
      <c r="L204" s="32" t="str">
        <f aca="false">IF(K204=0,"",IF(LEN(TRIM(Scheda_1!$D$195&amp;""))=0,"MANCANTE",IF(LEFT(LOWER(TRIM(Scheda_1!$D$195&amp;"")),7)="non not","NON NOTO","ok")))</f>
        <v/>
      </c>
    </row>
    <row r="205" customFormat="false" ht="15" hidden="false" customHeight="false" outlineLevel="0" collapsed="false">
      <c r="A205" s="16" t="s">
        <v>607</v>
      </c>
      <c r="B205" s="31" t="s">
        <v>608</v>
      </c>
      <c r="C205" s="16" t="s">
        <v>599</v>
      </c>
      <c r="D205" s="32" t="s">
        <v>795</v>
      </c>
      <c r="E205" s="32" t="s">
        <v>795</v>
      </c>
      <c r="F205" s="32"/>
      <c r="G205" s="32" t="s">
        <v>795</v>
      </c>
      <c r="H205" s="32" t="n">
        <f aca="false">IF(Scheda_1!$D$193="Sì",1,0)</f>
        <v>0</v>
      </c>
      <c r="I205" s="32" t="n">
        <v>1</v>
      </c>
      <c r="J205" s="32" t="str">
        <f aca="false">IF($B$5="","",IF($B$5="ORD",D205,IF($B$5="CON",E205,IF($B$5="AGI",F205,G205))))</f>
        <v>X</v>
      </c>
      <c r="K205" s="32" t="n">
        <f aca="false">IF(OR(H205=0,I205=0,J205=""),0,IF(IF(J205="X",1,IF(J205="P",$B$6,IF(J205="C",$B$7,IF(J205="DR",$B$8,IF(J205="T",$B$9,0)))))=1,1,0))</f>
        <v>0</v>
      </c>
      <c r="L205" s="32" t="str">
        <f aca="false">IF(K205=0,"",IF(LEN(TRIM(Scheda_1!$D$196&amp;""))=0,"MANCANTE",IF(LEFT(LOWER(TRIM(Scheda_1!$D$196&amp;"")),7)="non not","NON NOTO","ok")))</f>
        <v/>
      </c>
    </row>
    <row r="206" customFormat="false" ht="15" hidden="false" customHeight="false" outlineLevel="0" collapsed="false">
      <c r="A206" s="16" t="s">
        <v>610</v>
      </c>
      <c r="B206" s="31" t="s">
        <v>611</v>
      </c>
      <c r="C206" s="16" t="s">
        <v>599</v>
      </c>
      <c r="D206" s="32" t="s">
        <v>795</v>
      </c>
      <c r="E206" s="32" t="s">
        <v>795</v>
      </c>
      <c r="F206" s="32"/>
      <c r="G206" s="32" t="s">
        <v>795</v>
      </c>
      <c r="H206" s="32" t="n">
        <f aca="false">IF(Scheda_1!$D$193="Sì",1,0)</f>
        <v>0</v>
      </c>
      <c r="I206" s="32" t="n">
        <v>1</v>
      </c>
      <c r="J206" s="32" t="str">
        <f aca="false">IF($B$5="","",IF($B$5="ORD",D206,IF($B$5="CON",E206,IF($B$5="AGI",F206,G206))))</f>
        <v>X</v>
      </c>
      <c r="K206" s="32" t="n">
        <f aca="false">IF(OR(H206=0,I206=0,J206=""),0,IF(IF(J206="X",1,IF(J206="P",$B$6,IF(J206="C",$B$7,IF(J206="DR",$B$8,IF(J206="T",$B$9,0)))))=1,1,0))</f>
        <v>0</v>
      </c>
      <c r="L206" s="32" t="str">
        <f aca="false">IF(K206=0,"",IF(LEN(TRIM(Scheda_1!$D$197&amp;""))=0,"MANCANTE",IF(LEFT(LOWER(TRIM(Scheda_1!$D$197&amp;"")),7)="non not","NON NOTO","ok")))</f>
        <v/>
      </c>
    </row>
    <row r="207" customFormat="false" ht="15" hidden="false" customHeight="false" outlineLevel="0" collapsed="false">
      <c r="A207" s="16" t="s">
        <v>613</v>
      </c>
      <c r="B207" s="31" t="s">
        <v>614</v>
      </c>
      <c r="C207" s="16" t="s">
        <v>599</v>
      </c>
      <c r="D207" s="32" t="s">
        <v>795</v>
      </c>
      <c r="E207" s="32" t="s">
        <v>795</v>
      </c>
      <c r="F207" s="32"/>
      <c r="G207" s="32" t="s">
        <v>795</v>
      </c>
      <c r="H207" s="32" t="n">
        <f aca="false">IF(Scheda_1!$D$193="Sì",1,0)</f>
        <v>0</v>
      </c>
      <c r="I207" s="32" t="n">
        <v>1</v>
      </c>
      <c r="J207" s="32" t="str">
        <f aca="false">IF($B$5="","",IF($B$5="ORD",D207,IF($B$5="CON",E207,IF($B$5="AGI",F207,G207))))</f>
        <v>X</v>
      </c>
      <c r="K207" s="32" t="n">
        <f aca="false">IF(OR(H207=0,I207=0,J207=""),0,IF(IF(J207="X",1,IF(J207="P",$B$6,IF(J207="C",$B$7,IF(J207="DR",$B$8,IF(J207="T",$B$9,0)))))=1,1,0))</f>
        <v>0</v>
      </c>
      <c r="L207" s="32" t="str">
        <f aca="false">IF(K207=0,"",IF(LEN(TRIM(Scheda_1!$D$198&amp;""))=0,"MANCANTE",IF(LEFT(LOWER(TRIM(Scheda_1!$D$198&amp;"")),7)="non not","NON NOTO","ok")))</f>
        <v/>
      </c>
    </row>
    <row r="208" customFormat="false" ht="15" hidden="false" customHeight="false" outlineLevel="0" collapsed="false">
      <c r="A208" s="16" t="s">
        <v>615</v>
      </c>
      <c r="B208" s="31" t="s">
        <v>616</v>
      </c>
      <c r="C208" s="16" t="s">
        <v>599</v>
      </c>
      <c r="D208" s="32" t="s">
        <v>795</v>
      </c>
      <c r="E208" s="32" t="s">
        <v>795</v>
      </c>
      <c r="F208" s="32"/>
      <c r="G208" s="32" t="s">
        <v>795</v>
      </c>
      <c r="H208" s="32" t="n">
        <f aca="false">IF(Scheda_1!$D$193="Sì",1,0)</f>
        <v>0</v>
      </c>
      <c r="I208" s="32" t="n">
        <v>1</v>
      </c>
      <c r="J208" s="32" t="str">
        <f aca="false">IF($B$5="","",IF($B$5="ORD",D208,IF($B$5="CON",E208,IF($B$5="AGI",F208,G208))))</f>
        <v>X</v>
      </c>
      <c r="K208" s="32" t="n">
        <f aca="false">IF(OR(H208=0,I208=0,J208=""),0,IF(IF(J208="X",1,IF(J208="P",$B$6,IF(J208="C",$B$7,IF(J208="DR",$B$8,IF(J208="T",$B$9,0)))))=1,1,0))</f>
        <v>0</v>
      </c>
      <c r="L208" s="32" t="str">
        <f aca="false">IF(K208=0,"",IF(LEN(TRIM(Scheda_1!$D$199&amp;""))=0,"MANCANTE",IF(LEFT(LOWER(TRIM(Scheda_1!$D$199&amp;"")),7)="non not","NON NOTO","ok")))</f>
        <v/>
      </c>
    </row>
    <row r="209" customFormat="false" ht="15" hidden="false" customHeight="false" outlineLevel="0" collapsed="false">
      <c r="A209" s="16" t="s">
        <v>619</v>
      </c>
      <c r="B209" s="31" t="s">
        <v>620</v>
      </c>
      <c r="C209" s="16" t="s">
        <v>599</v>
      </c>
      <c r="D209" s="32" t="s">
        <v>795</v>
      </c>
      <c r="E209" s="32" t="s">
        <v>795</v>
      </c>
      <c r="F209" s="32"/>
      <c r="G209" s="32" t="s">
        <v>795</v>
      </c>
      <c r="H209" s="32" t="n">
        <f aca="false">IF(Scheda_1!$D$193="Sì",1,0)</f>
        <v>0</v>
      </c>
      <c r="I209" s="32" t="n">
        <f aca="false">IF(LEFT(Scheda_1!$D$194,8)="Impianti",1,0)</f>
        <v>0</v>
      </c>
      <c r="J209" s="32" t="str">
        <f aca="false">IF($B$5="","",IF($B$5="ORD",D209,IF($B$5="CON",E209,IF($B$5="AGI",F209,G209))))</f>
        <v>X</v>
      </c>
      <c r="K209" s="32" t="n">
        <f aca="false">IF(OR(H209=0,I209=0,J209=""),0,IF(IF(J209="X",1,IF(J209="P",$B$6,IF(J209="C",$B$7,IF(J209="DR",$B$8,IF(J209="T",$B$9,0)))))=1,1,0))</f>
        <v>0</v>
      </c>
      <c r="L209" s="32" t="str">
        <f aca="false">IF(K209=0,"",IF(LEN(TRIM(Scheda_1!$D$200&amp;""))=0,"MANCANTE",IF(LEFT(LOWER(TRIM(Scheda_1!$D$200&amp;"")),7)="non not","NON NOTO","ok")))</f>
        <v/>
      </c>
    </row>
    <row r="210" customFormat="false" ht="15" hidden="false" customHeight="false" outlineLevel="0" collapsed="false">
      <c r="A210" s="16" t="s">
        <v>623</v>
      </c>
      <c r="B210" s="31" t="s">
        <v>624</v>
      </c>
      <c r="C210" s="16" t="s">
        <v>599</v>
      </c>
      <c r="D210" s="32" t="s">
        <v>795</v>
      </c>
      <c r="E210" s="32" t="s">
        <v>795</v>
      </c>
      <c r="F210" s="32"/>
      <c r="G210" s="32" t="s">
        <v>795</v>
      </c>
      <c r="H210" s="32" t="n">
        <f aca="false">IF(Scheda_1!$D$193="Sì",1,0)</f>
        <v>0</v>
      </c>
      <c r="I210" s="32" t="n">
        <f aca="false">IF(LEFT(Scheda_1!$D$194,8)="Impianti",1,0)</f>
        <v>0</v>
      </c>
      <c r="J210" s="32" t="str">
        <f aca="false">IF($B$5="","",IF($B$5="ORD",D210,IF($B$5="CON",E210,IF($B$5="AGI",F210,G210))))</f>
        <v>X</v>
      </c>
      <c r="K210" s="32" t="n">
        <f aca="false">IF(OR(H210=0,I210=0,J210=""),0,IF(IF(J210="X",1,IF(J210="P",$B$6,IF(J210="C",$B$7,IF(J210="DR",$B$8,IF(J210="T",$B$9,0)))))=1,1,0))</f>
        <v>0</v>
      </c>
      <c r="L210" s="32" t="str">
        <f aca="false">IF(K210=0,"",IF(LEN(TRIM(Scheda_1!$D$201&amp;""))=0,"MANCANTE",IF(LEFT(LOWER(TRIM(Scheda_1!$D$201&amp;"")),7)="non not","NON NOTO","ok")))</f>
        <v/>
      </c>
    </row>
    <row r="211" customFormat="false" ht="15" hidden="false" customHeight="false" outlineLevel="0" collapsed="false">
      <c r="A211" s="16" t="s">
        <v>626</v>
      </c>
      <c r="B211" s="31" t="s">
        <v>627</v>
      </c>
      <c r="C211" s="16" t="s">
        <v>599</v>
      </c>
      <c r="D211" s="32" t="s">
        <v>795</v>
      </c>
      <c r="E211" s="32" t="s">
        <v>795</v>
      </c>
      <c r="F211" s="32"/>
      <c r="G211" s="32" t="s">
        <v>795</v>
      </c>
      <c r="H211" s="32" t="n">
        <f aca="false">IF(Scheda_1!$D$193="Sì",1,0)</f>
        <v>0</v>
      </c>
      <c r="I211" s="32" t="n">
        <f aca="false">IF(LEFT(Scheda_1!$D$194,8)="Impianti",1,0)</f>
        <v>0</v>
      </c>
      <c r="J211" s="32" t="str">
        <f aca="false">IF($B$5="","",IF($B$5="ORD",D211,IF($B$5="CON",E211,IF($B$5="AGI",F211,G211))))</f>
        <v>X</v>
      </c>
      <c r="K211" s="32" t="n">
        <f aca="false">IF(OR(H211=0,I211=0,J211=""),0,IF(IF(J211="X",1,IF(J211="P",$B$6,IF(J211="C",$B$7,IF(J211="DR",$B$8,IF(J211="T",$B$9,0)))))=1,1,0))</f>
        <v>0</v>
      </c>
      <c r="L211" s="32" t="str">
        <f aca="false">IF(K211=0,"",IF(LEN(TRIM(Scheda_1!$D$202&amp;""))=0,"MANCANTE",IF(LEFT(LOWER(TRIM(Scheda_1!$D$202&amp;"")),7)="non not","NON NOTO","ok")))</f>
        <v/>
      </c>
    </row>
    <row r="212" customFormat="false" ht="15" hidden="false" customHeight="false" outlineLevel="0" collapsed="false">
      <c r="A212" s="16" t="s">
        <v>628</v>
      </c>
      <c r="B212" s="31" t="s">
        <v>629</v>
      </c>
      <c r="C212" s="16" t="s">
        <v>599</v>
      </c>
      <c r="D212" s="32" t="s">
        <v>795</v>
      </c>
      <c r="E212" s="32" t="s">
        <v>795</v>
      </c>
      <c r="F212" s="32"/>
      <c r="G212" s="32" t="s">
        <v>795</v>
      </c>
      <c r="H212" s="32" t="n">
        <f aca="false">IF(Scheda_1!$D$193="Sì",1,0)</f>
        <v>0</v>
      </c>
      <c r="I212" s="32" t="n">
        <f aca="false">IF(LEFT(Scheda_1!$D$194,8)="Impianti",1,0)</f>
        <v>0</v>
      </c>
      <c r="J212" s="32" t="str">
        <f aca="false">IF($B$5="","",IF($B$5="ORD",D212,IF($B$5="CON",E212,IF($B$5="AGI",F212,G212))))</f>
        <v>X</v>
      </c>
      <c r="K212" s="32" t="n">
        <f aca="false">IF(OR(H212=0,I212=0,J212=""),0,IF(IF(J212="X",1,IF(J212="P",$B$6,IF(J212="C",$B$7,IF(J212="DR",$B$8,IF(J212="T",$B$9,0)))))=1,1,0))</f>
        <v>0</v>
      </c>
      <c r="L212" s="32" t="str">
        <f aca="false">IF(K212=0,"",IF(LEN(TRIM(Scheda_1!$D$203&amp;""))=0,"MANCANTE",IF(LEFT(LOWER(TRIM(Scheda_1!$D$203&amp;"")),7)="non not","NON NOTO","ok")))</f>
        <v/>
      </c>
    </row>
    <row r="213" customFormat="false" ht="15" hidden="false" customHeight="false" outlineLevel="0" collapsed="false">
      <c r="A213" s="16" t="s">
        <v>630</v>
      </c>
      <c r="B213" s="31" t="s">
        <v>631</v>
      </c>
      <c r="C213" s="16" t="s">
        <v>599</v>
      </c>
      <c r="D213" s="32" t="s">
        <v>795</v>
      </c>
      <c r="E213" s="32" t="s">
        <v>795</v>
      </c>
      <c r="F213" s="32"/>
      <c r="G213" s="32" t="s">
        <v>795</v>
      </c>
      <c r="H213" s="32" t="n">
        <f aca="false">IF(Scheda_1!$D$193="Sì",1,0)</f>
        <v>0</v>
      </c>
      <c r="I213" s="32" t="n">
        <f aca="false">IF(LEFT(Scheda_1!$D$194,8)="Impianti",1,0)</f>
        <v>0</v>
      </c>
      <c r="J213" s="32" t="str">
        <f aca="false">IF($B$5="","",IF($B$5="ORD",D213,IF($B$5="CON",E213,IF($B$5="AGI",F213,G213))))</f>
        <v>X</v>
      </c>
      <c r="K213" s="32" t="n">
        <f aca="false">IF(OR(H213=0,I213=0,J213=""),0,IF(IF(J213="X",1,IF(J213="P",$B$6,IF(J213="C",$B$7,IF(J213="DR",$B$8,IF(J213="T",$B$9,0)))))=1,1,0))</f>
        <v>0</v>
      </c>
      <c r="L213" s="32" t="str">
        <f aca="false">IF(K213=0,"",IF(LEN(TRIM(Scheda_1!$D$204&amp;""))=0,"MANCANTE",IF(LEFT(LOWER(TRIM(Scheda_1!$D$204&amp;"")),7)="non not","NON NOTO","ok")))</f>
        <v/>
      </c>
    </row>
    <row r="214" customFormat="false" ht="15" hidden="false" customHeight="false" outlineLevel="0" collapsed="false">
      <c r="A214" s="16" t="s">
        <v>633</v>
      </c>
      <c r="B214" s="31" t="s">
        <v>635</v>
      </c>
      <c r="C214" s="16" t="s">
        <v>634</v>
      </c>
      <c r="D214" s="32" t="s">
        <v>795</v>
      </c>
      <c r="E214" s="32" t="s">
        <v>795</v>
      </c>
      <c r="F214" s="32" t="s">
        <v>795</v>
      </c>
      <c r="G214" s="32" t="s">
        <v>795</v>
      </c>
      <c r="H214" s="32" t="n">
        <v>1</v>
      </c>
      <c r="I214" s="32" t="n">
        <v>1</v>
      </c>
      <c r="J214" s="32" t="str">
        <f aca="false">IF($B$5="","",IF($B$5="ORD",D214,IF($B$5="CON",E214,IF($B$5="AGI",F214,G214))))</f>
        <v>X</v>
      </c>
      <c r="K214" s="32" t="n">
        <f aca="false">IF(H214=1,1,0)</f>
        <v>1</v>
      </c>
      <c r="L214" s="32" t="str">
        <f aca="false">IF(K214=0,"",IF(LEN(TRIM(Scheda_1!$D$206&amp;""))=0,"MANCANTE",IF(LEFT(LOWER(TRIM(Scheda_1!$D$206&amp;"")),7)="non not","NON NOTO","ok")))</f>
        <v>ok</v>
      </c>
    </row>
    <row r="215" customFormat="false" ht="15" hidden="false" customHeight="false" outlineLevel="0" collapsed="false">
      <c r="A215" s="16" t="s">
        <v>636</v>
      </c>
      <c r="B215" s="31" t="s">
        <v>637</v>
      </c>
      <c r="C215" s="16" t="s">
        <v>634</v>
      </c>
      <c r="D215" s="32" t="s">
        <v>795</v>
      </c>
      <c r="E215" s="32" t="s">
        <v>795</v>
      </c>
      <c r="F215" s="32"/>
      <c r="G215" s="32" t="s">
        <v>795</v>
      </c>
      <c r="H215" s="32" t="n">
        <f aca="false">IF(Scheda_1!$D$206="Sì",1,0)</f>
        <v>0</v>
      </c>
      <c r="I215" s="32" t="n">
        <v>1</v>
      </c>
      <c r="J215" s="32" t="str">
        <f aca="false">IF($B$5="","",IF($B$5="ORD",D215,IF($B$5="CON",E215,IF($B$5="AGI",F215,G215))))</f>
        <v>X</v>
      </c>
      <c r="K215" s="32" t="n">
        <f aca="false">IF(OR(H215=0,I215=0,J215=""),0,IF(IF(J215="X",1,IF(J215="P",$B$6,IF(J215="C",$B$7,IF(J215="DR",$B$8,IF(J215="T",$B$9,0)))))=1,1,0))</f>
        <v>0</v>
      </c>
      <c r="L215" s="32" t="str">
        <f aca="false">IF(K215=0,"",IF(LEN(TRIM(Scheda_1!$D$207&amp;""))=0,"MANCANTE",IF(LEFT(LOWER(TRIM(Scheda_1!$D$207&amp;"")),7)="non not","NON NOTO","ok")))</f>
        <v/>
      </c>
    </row>
    <row r="216" customFormat="false" ht="15" hidden="false" customHeight="false" outlineLevel="0" collapsed="false">
      <c r="A216" s="16" t="s">
        <v>639</v>
      </c>
      <c r="B216" s="31" t="s">
        <v>640</v>
      </c>
      <c r="C216" s="16" t="s">
        <v>634</v>
      </c>
      <c r="D216" s="32" t="s">
        <v>795</v>
      </c>
      <c r="E216" s="32" t="s">
        <v>795</v>
      </c>
      <c r="F216" s="32"/>
      <c r="G216" s="32" t="s">
        <v>795</v>
      </c>
      <c r="H216" s="32" t="n">
        <f aca="false">IF(Scheda_1!$D$206="Sì",1,0)</f>
        <v>0</v>
      </c>
      <c r="I216" s="32" t="n">
        <v>1</v>
      </c>
      <c r="J216" s="32" t="str">
        <f aca="false">IF($B$5="","",IF($B$5="ORD",D216,IF($B$5="CON",E216,IF($B$5="AGI",F216,G216))))</f>
        <v>X</v>
      </c>
      <c r="K216" s="32" t="n">
        <f aca="false">IF(OR(H216=0,I216=0,J216=""),0,IF(IF(J216="X",1,IF(J216="P",$B$6,IF(J216="C",$B$7,IF(J216="DR",$B$8,IF(J216="T",$B$9,0)))))=1,1,0))</f>
        <v>0</v>
      </c>
      <c r="L216" s="32" t="str">
        <f aca="false">IF(K216=0,"",IF(LEN(TRIM(Scheda_1!$D$208&amp;""))=0,"MANCANTE",IF(LEFT(LOWER(TRIM(Scheda_1!$D$208&amp;"")),7)="non not","NON NOTO","ok")))</f>
        <v/>
      </c>
    </row>
    <row r="217" customFormat="false" ht="15" hidden="false" customHeight="false" outlineLevel="0" collapsed="false">
      <c r="A217" s="16" t="s">
        <v>642</v>
      </c>
      <c r="B217" s="31" t="s">
        <v>643</v>
      </c>
      <c r="C217" s="16" t="s">
        <v>634</v>
      </c>
      <c r="D217" s="32" t="s">
        <v>795</v>
      </c>
      <c r="E217" s="32" t="s">
        <v>795</v>
      </c>
      <c r="F217" s="32"/>
      <c r="G217" s="32" t="s">
        <v>795</v>
      </c>
      <c r="H217" s="32" t="n">
        <f aca="false">IF(Scheda_1!$D$206="Sì",1,0)</f>
        <v>0</v>
      </c>
      <c r="I217" s="32" t="n">
        <v>1</v>
      </c>
      <c r="J217" s="32" t="str">
        <f aca="false">IF($B$5="","",IF($B$5="ORD",D217,IF($B$5="CON",E217,IF($B$5="AGI",F217,G217))))</f>
        <v>X</v>
      </c>
      <c r="K217" s="32" t="n">
        <f aca="false">IF(OR(H217=0,I217=0,J217=""),0,IF(IF(J217="X",1,IF(J217="P",$B$6,IF(J217="C",$B$7,IF(J217="DR",$B$8,IF(J217="T",$B$9,0)))))=1,1,0))</f>
        <v>0</v>
      </c>
      <c r="L217" s="32" t="str">
        <f aca="false">IF(K217=0,"",IF(LEN(TRIM(Scheda_1!$D$209&amp;""))=0,"MANCANTE",IF(LEFT(LOWER(TRIM(Scheda_1!$D$209&amp;"")),7)="non not","NON NOTO","ok")))</f>
        <v/>
      </c>
    </row>
    <row r="218" customFormat="false" ht="15" hidden="false" customHeight="false" outlineLevel="0" collapsed="false">
      <c r="A218" s="16" t="s">
        <v>645</v>
      </c>
      <c r="B218" s="31" t="s">
        <v>646</v>
      </c>
      <c r="C218" s="16" t="s">
        <v>634</v>
      </c>
      <c r="D218" s="32" t="s">
        <v>795</v>
      </c>
      <c r="E218" s="32" t="s">
        <v>795</v>
      </c>
      <c r="F218" s="32"/>
      <c r="G218" s="32" t="s">
        <v>795</v>
      </c>
      <c r="H218" s="32" t="n">
        <f aca="false">IF(Scheda_1!$D$206="Sì",1,0)</f>
        <v>0</v>
      </c>
      <c r="I218" s="32" t="n">
        <v>1</v>
      </c>
      <c r="J218" s="32" t="str">
        <f aca="false">IF($B$5="","",IF($B$5="ORD",D218,IF($B$5="CON",E218,IF($B$5="AGI",F218,G218))))</f>
        <v>X</v>
      </c>
      <c r="K218" s="32" t="n">
        <f aca="false">IF(OR(H218=0,I218=0,J218=""),0,IF(IF(J218="X",1,IF(J218="P",$B$6,IF(J218="C",$B$7,IF(J218="DR",$B$8,IF(J218="T",$B$9,0)))))=1,1,0))</f>
        <v>0</v>
      </c>
      <c r="L218" s="32" t="str">
        <f aca="false">IF(K218=0,"",IF(LEN(TRIM(Scheda_1!$D$210&amp;""))=0,"MANCANTE",IF(LEFT(LOWER(TRIM(Scheda_1!$D$210&amp;"")),7)="non not","NON NOTO","ok")))</f>
        <v/>
      </c>
    </row>
    <row r="219" customFormat="false" ht="15" hidden="false" customHeight="false" outlineLevel="0" collapsed="false">
      <c r="A219" s="16" t="s">
        <v>647</v>
      </c>
      <c r="B219" s="31" t="s">
        <v>648</v>
      </c>
      <c r="C219" s="16" t="s">
        <v>634</v>
      </c>
      <c r="D219" s="32" t="s">
        <v>795</v>
      </c>
      <c r="E219" s="32" t="s">
        <v>795</v>
      </c>
      <c r="F219" s="32"/>
      <c r="G219" s="32" t="s">
        <v>795</v>
      </c>
      <c r="H219" s="32" t="n">
        <f aca="false">IF(Scheda_1!$D$206="Sì",1,0)</f>
        <v>0</v>
      </c>
      <c r="I219" s="32" t="n">
        <v>1</v>
      </c>
      <c r="J219" s="32" t="str">
        <f aca="false">IF($B$5="","",IF($B$5="ORD",D219,IF($B$5="CON",E219,IF($B$5="AGI",F219,G219))))</f>
        <v>X</v>
      </c>
      <c r="K219" s="32" t="n">
        <f aca="false">IF(OR(H219=0,I219=0,J219=""),0,IF(IF(J219="X",1,IF(J219="P",$B$6,IF(J219="C",$B$7,IF(J219="DR",$B$8,IF(J219="T",$B$9,0)))))=1,1,0))</f>
        <v>0</v>
      </c>
      <c r="L219" s="32" t="str">
        <f aca="false">IF(K219=0,"",IF(LEN(TRIM(Scheda_1!$D$211&amp;""))=0,"MANCANTE",IF(LEFT(LOWER(TRIM(Scheda_1!$D$211&amp;"")),7)="non not","NON NOTO","ok")))</f>
        <v/>
      </c>
    </row>
    <row r="220" customFormat="false" ht="15" hidden="false" customHeight="false" outlineLevel="0" collapsed="false">
      <c r="A220" s="16" t="s">
        <v>649</v>
      </c>
      <c r="B220" s="31" t="s">
        <v>650</v>
      </c>
      <c r="C220" s="16" t="s">
        <v>634</v>
      </c>
      <c r="D220" s="32" t="s">
        <v>795</v>
      </c>
      <c r="E220" s="32" t="s">
        <v>795</v>
      </c>
      <c r="F220" s="32"/>
      <c r="G220" s="32" t="s">
        <v>795</v>
      </c>
      <c r="H220" s="32" t="n">
        <f aca="false">IF(Scheda_1!$D$206="Sì",1,0)</f>
        <v>0</v>
      </c>
      <c r="I220" s="32" t="n">
        <v>1</v>
      </c>
      <c r="J220" s="32" t="str">
        <f aca="false">IF($B$5="","",IF($B$5="ORD",D220,IF($B$5="CON",E220,IF($B$5="AGI",F220,G220))))</f>
        <v>X</v>
      </c>
      <c r="K220" s="32" t="n">
        <f aca="false">IF(OR(H220=0,I220=0,J220=""),0,IF(IF(J220="X",1,IF(J220="P",$B$6,IF(J220="C",$B$7,IF(J220="DR",$B$8,IF(J220="T",$B$9,0)))))=1,1,0))</f>
        <v>0</v>
      </c>
      <c r="L220" s="32" t="str">
        <f aca="false">IF(K220=0,"",IF(LEN(TRIM(Scheda_1!$D$212&amp;""))=0,"MANCANTE",IF(LEFT(LOWER(TRIM(Scheda_1!$D$212&amp;"")),7)="non not","NON NOTO","ok")))</f>
        <v/>
      </c>
    </row>
    <row r="221" customFormat="false" ht="15" hidden="false" customHeight="false" outlineLevel="0" collapsed="false">
      <c r="A221" s="16" t="s">
        <v>651</v>
      </c>
      <c r="B221" s="31" t="s">
        <v>652</v>
      </c>
      <c r="C221" s="16" t="s">
        <v>634</v>
      </c>
      <c r="D221" s="32" t="s">
        <v>795</v>
      </c>
      <c r="E221" s="32" t="s">
        <v>795</v>
      </c>
      <c r="F221" s="32"/>
      <c r="G221" s="32" t="s">
        <v>795</v>
      </c>
      <c r="H221" s="32" t="n">
        <f aca="false">IF(Scheda_1!$D$206="Sì",1,0)</f>
        <v>0</v>
      </c>
      <c r="I221" s="32" t="n">
        <v>1</v>
      </c>
      <c r="J221" s="32" t="str">
        <f aca="false">IF($B$5="","",IF($B$5="ORD",D221,IF($B$5="CON",E221,IF($B$5="AGI",F221,G221))))</f>
        <v>X</v>
      </c>
      <c r="K221" s="32" t="n">
        <f aca="false">IF(OR(H221=0,I221=0,J221=""),0,IF(IF(J221="X",1,IF(J221="P",$B$6,IF(J221="C",$B$7,IF(J221="DR",$B$8,IF(J221="T",$B$9,0)))))=1,1,0))</f>
        <v>0</v>
      </c>
      <c r="L221" s="32" t="str">
        <f aca="false">IF(K221=0,"",IF(LEN(TRIM(Scheda_1!$D$213&amp;""))=0,"MANCANTE",IF(LEFT(LOWER(TRIM(Scheda_1!$D$213&amp;"")),7)="non not","NON NOTO","ok")))</f>
        <v/>
      </c>
    </row>
    <row r="222" customFormat="false" ht="15" hidden="false" customHeight="false" outlineLevel="0" collapsed="false">
      <c r="A222" s="16" t="s">
        <v>653</v>
      </c>
      <c r="B222" s="31" t="s">
        <v>654</v>
      </c>
      <c r="C222" s="16" t="s">
        <v>634</v>
      </c>
      <c r="D222" s="32" t="s">
        <v>795</v>
      </c>
      <c r="E222" s="32" t="s">
        <v>795</v>
      </c>
      <c r="F222" s="32"/>
      <c r="G222" s="32" t="s">
        <v>795</v>
      </c>
      <c r="H222" s="32" t="n">
        <f aca="false">IF(Scheda_1!$D$206="Sì",1,0)</f>
        <v>0</v>
      </c>
      <c r="I222" s="32" t="n">
        <v>1</v>
      </c>
      <c r="J222" s="32" t="str">
        <f aca="false">IF($B$5="","",IF($B$5="ORD",D222,IF($B$5="CON",E222,IF($B$5="AGI",F222,G222))))</f>
        <v>X</v>
      </c>
      <c r="K222" s="32" t="n">
        <f aca="false">IF(OR(H222=0,I222=0,J222=""),0,IF(IF(J222="X",1,IF(J222="P",$B$6,IF(J222="C",$B$7,IF(J222="DR",$B$8,IF(J222="T",$B$9,0)))))=1,1,0))</f>
        <v>0</v>
      </c>
      <c r="L222" s="32" t="str">
        <f aca="false">IF(K222=0,"",IF(LEN(TRIM(Scheda_1!$D$214&amp;""))=0,"MANCANTE",IF(LEFT(LOWER(TRIM(Scheda_1!$D$214&amp;"")),7)="non not","NON NOTO","ok")))</f>
        <v/>
      </c>
    </row>
    <row r="223" customFormat="false" ht="15" hidden="false" customHeight="false" outlineLevel="0" collapsed="false">
      <c r="A223" s="16" t="s">
        <v>655</v>
      </c>
      <c r="B223" s="31" t="s">
        <v>656</v>
      </c>
      <c r="C223" s="16" t="s">
        <v>634</v>
      </c>
      <c r="D223" s="32" t="s">
        <v>795</v>
      </c>
      <c r="E223" s="32" t="s">
        <v>795</v>
      </c>
      <c r="F223" s="32"/>
      <c r="G223" s="32" t="s">
        <v>795</v>
      </c>
      <c r="H223" s="32" t="n">
        <f aca="false">IF(Scheda_1!$D$206="Sì",1,0)</f>
        <v>0</v>
      </c>
      <c r="I223" s="32" t="n">
        <v>1</v>
      </c>
      <c r="J223" s="32" t="str">
        <f aca="false">IF($B$5="","",IF($B$5="ORD",D223,IF($B$5="CON",E223,IF($B$5="AGI",F223,G223))))</f>
        <v>X</v>
      </c>
      <c r="K223" s="32" t="n">
        <f aca="false">IF(OR(H223=0,I223=0,J223=""),0,IF(IF(J223="X",1,IF(J223="P",$B$6,IF(J223="C",$B$7,IF(J223="DR",$B$8,IF(J223="T",$B$9,0)))))=1,1,0))</f>
        <v>0</v>
      </c>
      <c r="L223" s="32" t="str">
        <f aca="false">IF(K223=0,"",IF(LEN(TRIM(Scheda_1!$D$215&amp;""))=0,"MANCANTE",IF(LEFT(LOWER(TRIM(Scheda_1!$D$215&amp;"")),7)="non not","NON NOTO","ok")))</f>
        <v/>
      </c>
    </row>
    <row r="224" customFormat="false" ht="15" hidden="false" customHeight="false" outlineLevel="0" collapsed="false">
      <c r="A224" s="16" t="s">
        <v>658</v>
      </c>
      <c r="B224" s="31" t="s">
        <v>660</v>
      </c>
      <c r="C224" s="16" t="s">
        <v>659</v>
      </c>
      <c r="D224" s="32" t="s">
        <v>795</v>
      </c>
      <c r="E224" s="32" t="s">
        <v>795</v>
      </c>
      <c r="F224" s="32" t="s">
        <v>795</v>
      </c>
      <c r="G224" s="32" t="s">
        <v>795</v>
      </c>
      <c r="H224" s="32" t="n">
        <v>1</v>
      </c>
      <c r="I224" s="32" t="n">
        <v>1</v>
      </c>
      <c r="J224" s="32" t="str">
        <f aca="false">IF($B$5="","",IF($B$5="ORD",D224,IF($B$5="CON",E224,IF($B$5="AGI",F224,G224))))</f>
        <v>X</v>
      </c>
      <c r="K224" s="32" t="n">
        <f aca="false">IF(H224=1,1,0)</f>
        <v>1</v>
      </c>
      <c r="L224" s="32" t="str">
        <f aca="false">IF(K224=0,"",IF(LEN(TRIM(Scheda_1!$D$217&amp;""))=0,"MANCANTE",IF(LEFT(LOWER(TRIM(Scheda_1!$D$217&amp;"")),7)="non not","NON NOTO","ok")))</f>
        <v>ok</v>
      </c>
    </row>
    <row r="225" customFormat="false" ht="15" hidden="false" customHeight="false" outlineLevel="0" collapsed="false">
      <c r="A225" s="16" t="s">
        <v>661</v>
      </c>
      <c r="B225" s="31" t="s">
        <v>662</v>
      </c>
      <c r="C225" s="16" t="s">
        <v>659</v>
      </c>
      <c r="D225" s="32" t="s">
        <v>795</v>
      </c>
      <c r="E225" s="32"/>
      <c r="F225" s="32"/>
      <c r="G225" s="32"/>
      <c r="H225" s="32" t="n">
        <f aca="false">IF(Scheda_1!$D$217="Sì",1,0)</f>
        <v>0</v>
      </c>
      <c r="I225" s="32" t="n">
        <v>1</v>
      </c>
      <c r="J225" s="32" t="str">
        <f aca="false">IF($B$5="","",IF($B$5="ORD",D225,IF($B$5="CON",E225,IF($B$5="AGI",F225,G225))))</f>
        <v>X</v>
      </c>
      <c r="K225" s="32" t="n">
        <f aca="false">IF(OR(H225=0,I225=0,J225=""),0,IF(IF(J225="X",1,IF(J225="P",$B$6,IF(J225="C",$B$7,IF(J225="DR",$B$8,IF(J225="T",$B$9,0)))))=1,1,0))</f>
        <v>0</v>
      </c>
      <c r="L225" s="32" t="str">
        <f aca="false">IF(K225=0,"",IF(LEN(TRIM(Scheda_1!$D$218&amp;""))=0,"MANCANTE",IF(LEFT(LOWER(TRIM(Scheda_1!$D$218&amp;"")),7)="non not","NON NOTO","ok")))</f>
        <v/>
      </c>
    </row>
    <row r="226" customFormat="false" ht="15" hidden="false" customHeight="false" outlineLevel="0" collapsed="false">
      <c r="A226" s="16" t="s">
        <v>665</v>
      </c>
      <c r="B226" s="31" t="s">
        <v>666</v>
      </c>
      <c r="C226" s="16" t="s">
        <v>659</v>
      </c>
      <c r="D226" s="32" t="s">
        <v>795</v>
      </c>
      <c r="E226" s="32"/>
      <c r="F226" s="32"/>
      <c r="G226" s="32"/>
      <c r="H226" s="32" t="n">
        <f aca="false">IF(Scheda_1!$D$217="Sì",1,0)</f>
        <v>0</v>
      </c>
      <c r="I226" s="32" t="n">
        <v>1</v>
      </c>
      <c r="J226" s="32" t="str">
        <f aca="false">IF($B$5="","",IF($B$5="ORD",D226,IF($B$5="CON",E226,IF($B$5="AGI",F226,G226))))</f>
        <v>X</v>
      </c>
      <c r="K226" s="32" t="n">
        <f aca="false">IF(OR(H226=0,I226=0,J226=""),0,IF(IF(J226="X",1,IF(J226="P",$B$6,IF(J226="C",$B$7,IF(J226="DR",$B$8,IF(J226="T",$B$9,0)))))=1,1,0))</f>
        <v>0</v>
      </c>
      <c r="L226" s="32" t="str">
        <f aca="false">IF(K226=0,"",IF(LEN(TRIM(Scheda_1!$D$219&amp;""))=0,"MANCANTE",IF(LEFT(LOWER(TRIM(Scheda_1!$D$219&amp;"")),7)="non not","NON NOTO","ok")))</f>
        <v/>
      </c>
    </row>
    <row r="227" customFormat="false" ht="15" hidden="false" customHeight="false" outlineLevel="0" collapsed="false">
      <c r="A227" s="16" t="s">
        <v>668</v>
      </c>
      <c r="B227" s="31" t="s">
        <v>669</v>
      </c>
      <c r="C227" s="16" t="s">
        <v>659</v>
      </c>
      <c r="D227" s="32" t="s">
        <v>795</v>
      </c>
      <c r="E227" s="32"/>
      <c r="F227" s="32"/>
      <c r="G227" s="32"/>
      <c r="H227" s="32" t="n">
        <f aca="false">IF(Scheda_1!$D$217="Sì",1,0)</f>
        <v>0</v>
      </c>
      <c r="I227" s="32" t="n">
        <v>1</v>
      </c>
      <c r="J227" s="32" t="str">
        <f aca="false">IF($B$5="","",IF($B$5="ORD",D227,IF($B$5="CON",E227,IF($B$5="AGI",F227,G227))))</f>
        <v>X</v>
      </c>
      <c r="K227" s="32" t="n">
        <f aca="false">IF(OR(H227=0,I227=0,J227=""),0,IF(IF(J227="X",1,IF(J227="P",$B$6,IF(J227="C",$B$7,IF(J227="DR",$B$8,IF(J227="T",$B$9,0)))))=1,1,0))</f>
        <v>0</v>
      </c>
      <c r="L227" s="32" t="str">
        <f aca="false">IF(K227=0,"",IF(LEN(TRIM(Scheda_1!$D$220&amp;""))=0,"MANCANTE",IF(LEFT(LOWER(TRIM(Scheda_1!$D$220&amp;"")),7)="non not","NON NOTO","ok")))</f>
        <v/>
      </c>
    </row>
    <row r="228" customFormat="false" ht="15" hidden="false" customHeight="false" outlineLevel="0" collapsed="false">
      <c r="A228" s="16" t="s">
        <v>670</v>
      </c>
      <c r="B228" s="31" t="s">
        <v>671</v>
      </c>
      <c r="C228" s="16" t="s">
        <v>659</v>
      </c>
      <c r="D228" s="32" t="s">
        <v>795</v>
      </c>
      <c r="E228" s="32"/>
      <c r="F228" s="32"/>
      <c r="G228" s="32"/>
      <c r="H228" s="32" t="n">
        <f aca="false">IF(Scheda_1!$D$217="Sì",1,0)</f>
        <v>0</v>
      </c>
      <c r="I228" s="32" t="n">
        <v>1</v>
      </c>
      <c r="J228" s="32" t="str">
        <f aca="false">IF($B$5="","",IF($B$5="ORD",D228,IF($B$5="CON",E228,IF($B$5="AGI",F228,G228))))</f>
        <v>X</v>
      </c>
      <c r="K228" s="32" t="n">
        <f aca="false">IF(OR(H228=0,I228=0,J228=""),0,IF(IF(J228="X",1,IF(J228="P",$B$6,IF(J228="C",$B$7,IF(J228="DR",$B$8,IF(J228="T",$B$9,0)))))=1,1,0))</f>
        <v>0</v>
      </c>
      <c r="L228" s="32" t="str">
        <f aca="false">IF(K228=0,"",IF(LEN(TRIM(Scheda_1!$D$221&amp;""))=0,"MANCANTE",IF(LEFT(LOWER(TRIM(Scheda_1!$D$221&amp;"")),7)="non not","NON NOTO","ok")))</f>
        <v/>
      </c>
    </row>
    <row r="229" customFormat="false" ht="15" hidden="false" customHeight="false" outlineLevel="0" collapsed="false">
      <c r="A229" s="16" t="s">
        <v>672</v>
      </c>
      <c r="B229" s="31" t="s">
        <v>673</v>
      </c>
      <c r="C229" s="16" t="s">
        <v>659</v>
      </c>
      <c r="D229" s="32" t="s">
        <v>795</v>
      </c>
      <c r="E229" s="32"/>
      <c r="F229" s="32"/>
      <c r="G229" s="32"/>
      <c r="H229" s="32" t="n">
        <f aca="false">IF(Scheda_1!$D$217="Sì",1,0)</f>
        <v>0</v>
      </c>
      <c r="I229" s="32" t="n">
        <v>1</v>
      </c>
      <c r="J229" s="32" t="str">
        <f aca="false">IF($B$5="","",IF($B$5="ORD",D229,IF($B$5="CON",E229,IF($B$5="AGI",F229,G229))))</f>
        <v>X</v>
      </c>
      <c r="K229" s="32" t="n">
        <f aca="false">IF(OR(H229=0,I229=0,J229=""),0,IF(IF(J229="X",1,IF(J229="P",$B$6,IF(J229="C",$B$7,IF(J229="DR",$B$8,IF(J229="T",$B$9,0)))))=1,1,0))</f>
        <v>0</v>
      </c>
      <c r="L229" s="32" t="str">
        <f aca="false">IF(K229=0,"",IF(LEN(TRIM(Scheda_1!$D$222&amp;""))=0,"MANCANTE",IF(LEFT(LOWER(TRIM(Scheda_1!$D$222&amp;"")),7)="non not","NON NOTO","ok")))</f>
        <v/>
      </c>
    </row>
    <row r="230" customFormat="false" ht="15" hidden="false" customHeight="false" outlineLevel="0" collapsed="false">
      <c r="A230" s="16" t="s">
        <v>676</v>
      </c>
      <c r="B230" s="31" t="s">
        <v>677</v>
      </c>
      <c r="C230" s="16" t="s">
        <v>659</v>
      </c>
      <c r="D230" s="32" t="s">
        <v>795</v>
      </c>
      <c r="E230" s="32"/>
      <c r="F230" s="32"/>
      <c r="G230" s="32"/>
      <c r="H230" s="32" t="n">
        <f aca="false">IF(Scheda_1!$D$217="Sì",1,0)</f>
        <v>0</v>
      </c>
      <c r="I230" s="32" t="n">
        <v>1</v>
      </c>
      <c r="J230" s="32" t="str">
        <f aca="false">IF($B$5="","",IF($B$5="ORD",D230,IF($B$5="CON",E230,IF($B$5="AGI",F230,G230))))</f>
        <v>X</v>
      </c>
      <c r="K230" s="32" t="n">
        <f aca="false">IF(OR(H230=0,I230=0,J230=""),0,IF(IF(J230="X",1,IF(J230="P",$B$6,IF(J230="C",$B$7,IF(J230="DR",$B$8,IF(J230="T",$B$9,0)))))=1,1,0))</f>
        <v>0</v>
      </c>
      <c r="L230" s="32" t="str">
        <f aca="false">IF(K230=0,"",IF(LEN(TRIM(Scheda_1!$D$223&amp;""))=0,"MANCANTE",IF(LEFT(LOWER(TRIM(Scheda_1!$D$223&amp;"")),7)="non not","NON NOTO","ok")))</f>
        <v/>
      </c>
    </row>
    <row r="231" customFormat="false" ht="15" hidden="false" customHeight="false" outlineLevel="0" collapsed="false">
      <c r="A231" s="16" t="s">
        <v>678</v>
      </c>
      <c r="B231" s="31" t="s">
        <v>679</v>
      </c>
      <c r="C231" s="16" t="s">
        <v>659</v>
      </c>
      <c r="D231" s="32" t="s">
        <v>795</v>
      </c>
      <c r="E231" s="32"/>
      <c r="F231" s="32"/>
      <c r="G231" s="32"/>
      <c r="H231" s="32" t="n">
        <f aca="false">IF(Scheda_1!$D$217="Sì",1,0)</f>
        <v>0</v>
      </c>
      <c r="I231" s="32" t="n">
        <v>1</v>
      </c>
      <c r="J231" s="32" t="str">
        <f aca="false">IF($B$5="","",IF($B$5="ORD",D231,IF($B$5="CON",E231,IF($B$5="AGI",F231,G231))))</f>
        <v>X</v>
      </c>
      <c r="K231" s="32" t="n">
        <f aca="false">IF(OR(H231=0,I231=0,J231=""),0,IF(IF(J231="X",1,IF(J231="P",$B$6,IF(J231="C",$B$7,IF(J231="DR",$B$8,IF(J231="T",$B$9,0)))))=1,1,0))</f>
        <v>0</v>
      </c>
      <c r="L231" s="32" t="str">
        <f aca="false">IF(K231=0,"",IF(LEN(TRIM(Scheda_1!$D$224&amp;""))=0,"MANCANTE",IF(LEFT(LOWER(TRIM(Scheda_1!$D$224&amp;"")),7)="non not","NON NOTO","ok")))</f>
        <v/>
      </c>
    </row>
    <row r="232" customFormat="false" ht="15" hidden="false" customHeight="false" outlineLevel="0" collapsed="false">
      <c r="A232" s="16" t="s">
        <v>680</v>
      </c>
      <c r="B232" s="31" t="s">
        <v>681</v>
      </c>
      <c r="C232" s="16" t="s">
        <v>659</v>
      </c>
      <c r="D232" s="32" t="s">
        <v>795</v>
      </c>
      <c r="E232" s="32"/>
      <c r="F232" s="32"/>
      <c r="G232" s="32"/>
      <c r="H232" s="32" t="n">
        <f aca="false">IF(Scheda_1!$D$217="Sì",1,0)</f>
        <v>0</v>
      </c>
      <c r="I232" s="32" t="n">
        <v>1</v>
      </c>
      <c r="J232" s="32" t="str">
        <f aca="false">IF($B$5="","",IF($B$5="ORD",D232,IF($B$5="CON",E232,IF($B$5="AGI",F232,G232))))</f>
        <v>X</v>
      </c>
      <c r="K232" s="32" t="n">
        <f aca="false">IF(OR(H232=0,I232=0,J232=""),0,IF(IF(J232="X",1,IF(J232="P",$B$6,IF(J232="C",$B$7,IF(J232="DR",$B$8,IF(J232="T",$B$9,0)))))=1,1,0))</f>
        <v>0</v>
      </c>
      <c r="L232" s="32" t="str">
        <f aca="false">IF(K232=0,"",IF(LEN(TRIM(Scheda_1!$D$225&amp;""))=0,"MANCANTE",IF(LEFT(LOWER(TRIM(Scheda_1!$D$225&amp;"")),7)="non not","NON NOTO","ok")))</f>
        <v/>
      </c>
    </row>
    <row r="233" customFormat="false" ht="15" hidden="false" customHeight="false" outlineLevel="0" collapsed="false">
      <c r="A233" s="16" t="s">
        <v>684</v>
      </c>
      <c r="B233" s="31" t="s">
        <v>686</v>
      </c>
      <c r="C233" s="16" t="s">
        <v>685</v>
      </c>
      <c r="D233" s="32" t="s">
        <v>795</v>
      </c>
      <c r="E233" s="32" t="s">
        <v>795</v>
      </c>
      <c r="F233" s="32" t="s">
        <v>795</v>
      </c>
      <c r="G233" s="32" t="s">
        <v>795</v>
      </c>
      <c r="H233" s="32" t="n">
        <v>1</v>
      </c>
      <c r="I233" s="32" t="n">
        <v>1</v>
      </c>
      <c r="J233" s="32" t="str">
        <f aca="false">IF($B$5="","",IF($B$5="ORD",D233,IF($B$5="CON",E233,IF($B$5="AGI",F233,G233))))</f>
        <v>X</v>
      </c>
      <c r="K233" s="32" t="n">
        <f aca="false">IF(H233=1,1,0)</f>
        <v>1</v>
      </c>
      <c r="L233" s="32" t="str">
        <f aca="false">IF(K233=0,"",IF(LEN(TRIM(Scheda_1!$D$228&amp;""))=0,"MANCANTE",IF(LEFT(LOWER(TRIM(Scheda_1!$D$228&amp;"")),7)="non not","NON NOTO","ok")))</f>
        <v>ok</v>
      </c>
    </row>
    <row r="234" customFormat="false" ht="15" hidden="false" customHeight="false" outlineLevel="0" collapsed="false">
      <c r="A234" s="16" t="s">
        <v>687</v>
      </c>
      <c r="B234" s="31" t="s">
        <v>688</v>
      </c>
      <c r="C234" s="16" t="s">
        <v>685</v>
      </c>
      <c r="D234" s="32" t="s">
        <v>795</v>
      </c>
      <c r="E234" s="32"/>
      <c r="F234" s="32"/>
      <c r="G234" s="32" t="s">
        <v>795</v>
      </c>
      <c r="H234" s="32" t="n">
        <f aca="false">IF(Scheda_1!$D$228="Sì",1,0)</f>
        <v>0</v>
      </c>
      <c r="I234" s="32" t="n">
        <v>1</v>
      </c>
      <c r="J234" s="32" t="str">
        <f aca="false">IF($B$5="","",IF($B$5="ORD",D234,IF($B$5="CON",E234,IF($B$5="AGI",F234,G234))))</f>
        <v>X</v>
      </c>
      <c r="K234" s="32" t="n">
        <f aca="false">IF(OR(H234=0,I234=0,J234=""),0,IF(IF(J234="X",1,IF(J234="P",$B$6,IF(J234="C",$B$7,IF(J234="DR",$B$8,IF(J234="T",$B$9,0)))))=1,1,0))</f>
        <v>0</v>
      </c>
      <c r="L234" s="32" t="str">
        <f aca="false">IF(K234=0,"",IF(LEN(TRIM(Scheda_1!$D$229&amp;""))=0,"MANCANTE",IF(LEFT(LOWER(TRIM(Scheda_1!$D$229&amp;"")),7)="non not","NON NOTO","ok")))</f>
        <v/>
      </c>
    </row>
    <row r="235" customFormat="false" ht="15" hidden="false" customHeight="false" outlineLevel="0" collapsed="false">
      <c r="A235" s="16" t="s">
        <v>690</v>
      </c>
      <c r="B235" s="31" t="s">
        <v>691</v>
      </c>
      <c r="C235" s="16" t="s">
        <v>685</v>
      </c>
      <c r="D235" s="32" t="s">
        <v>795</v>
      </c>
      <c r="E235" s="32"/>
      <c r="F235" s="32"/>
      <c r="G235" s="32" t="s">
        <v>795</v>
      </c>
      <c r="H235" s="32" t="n">
        <f aca="false">IF(Scheda_1!$D$228="Sì",1,0)</f>
        <v>0</v>
      </c>
      <c r="I235" s="32" t="n">
        <v>1</v>
      </c>
      <c r="J235" s="32" t="str">
        <f aca="false">IF($B$5="","",IF($B$5="ORD",D235,IF($B$5="CON",E235,IF($B$5="AGI",F235,G235))))</f>
        <v>X</v>
      </c>
      <c r="K235" s="32" t="n">
        <f aca="false">IF(OR(H235=0,I235=0,J235=""),0,IF(IF(J235="X",1,IF(J235="P",$B$6,IF(J235="C",$B$7,IF(J235="DR",$B$8,IF(J235="T",$B$9,0)))))=1,1,0))</f>
        <v>0</v>
      </c>
      <c r="L235" s="32" t="str">
        <f aca="false">IF(K235=0,"",IF(LEN(TRIM(Scheda_1!$D$230&amp;""))=0,"MANCANTE",IF(LEFT(LOWER(TRIM(Scheda_1!$D$230&amp;"")),7)="non not","NON NOTO","ok")))</f>
        <v/>
      </c>
    </row>
    <row r="236" customFormat="false" ht="15" hidden="false" customHeight="false" outlineLevel="0" collapsed="false">
      <c r="A236" s="16" t="s">
        <v>693</v>
      </c>
      <c r="B236" s="31" t="s">
        <v>694</v>
      </c>
      <c r="C236" s="16" t="s">
        <v>685</v>
      </c>
      <c r="D236" s="32" t="s">
        <v>795</v>
      </c>
      <c r="E236" s="32"/>
      <c r="F236" s="32"/>
      <c r="G236" s="32" t="s">
        <v>795</v>
      </c>
      <c r="H236" s="32" t="n">
        <f aca="false">IF(Scheda_1!$D$228="Sì",1,0)</f>
        <v>0</v>
      </c>
      <c r="I236" s="32" t="n">
        <f aca="false">IF(Scheda_1!$D$230="Sì",1,0)</f>
        <v>0</v>
      </c>
      <c r="J236" s="32" t="str">
        <f aca="false">IF($B$5="","",IF($B$5="ORD",D236,IF($B$5="CON",E236,IF($B$5="AGI",F236,G236))))</f>
        <v>X</v>
      </c>
      <c r="K236" s="32" t="n">
        <f aca="false">IF(OR(H236=0,I236=0,J236=""),0,IF(IF(J236="X",1,IF(J236="P",$B$6,IF(J236="C",$B$7,IF(J236="DR",$B$8,IF(J236="T",$B$9,0)))))=1,1,0))</f>
        <v>0</v>
      </c>
      <c r="L236" s="32" t="str">
        <f aca="false">IF(K236=0,"",IF(LEN(TRIM(Scheda_1!$D$231&amp;""))=0,"MANCANTE",IF(LEFT(LOWER(TRIM(Scheda_1!$D$231&amp;"")),7)="non not","NON NOTO","ok")))</f>
        <v/>
      </c>
    </row>
    <row r="237" customFormat="false" ht="15" hidden="false" customHeight="false" outlineLevel="0" collapsed="false">
      <c r="A237" s="16" t="s">
        <v>697</v>
      </c>
      <c r="B237" s="31" t="s">
        <v>698</v>
      </c>
      <c r="C237" s="16" t="s">
        <v>685</v>
      </c>
      <c r="D237" s="32" t="s">
        <v>795</v>
      </c>
      <c r="E237" s="32"/>
      <c r="F237" s="32"/>
      <c r="G237" s="32" t="s">
        <v>795</v>
      </c>
      <c r="H237" s="32" t="n">
        <f aca="false">IF(Scheda_1!$D$228="Sì",1,0)</f>
        <v>0</v>
      </c>
      <c r="I237" s="32" t="n">
        <v>1</v>
      </c>
      <c r="J237" s="32" t="str">
        <f aca="false">IF($B$5="","",IF($B$5="ORD",D237,IF($B$5="CON",E237,IF($B$5="AGI",F237,G237))))</f>
        <v>X</v>
      </c>
      <c r="K237" s="32" t="n">
        <f aca="false">IF(OR(H237=0,I237=0,J237=""),0,IF(IF(J237="X",1,IF(J237="P",$B$6,IF(J237="C",$B$7,IF(J237="DR",$B$8,IF(J237="T",$B$9,0)))))=1,1,0))</f>
        <v>0</v>
      </c>
      <c r="L237" s="32" t="str">
        <f aca="false">IF(K237=0,"",IF(LEN(TRIM(Scheda_1!$D$232&amp;""))=0,"MANCANTE",IF(LEFT(LOWER(TRIM(Scheda_1!$D$232&amp;"")),7)="non not","NON NOTO","ok")))</f>
        <v/>
      </c>
    </row>
    <row r="238" customFormat="false" ht="15" hidden="false" customHeight="false" outlineLevel="0" collapsed="false">
      <c r="A238" s="16" t="s">
        <v>699</v>
      </c>
      <c r="B238" s="31" t="s">
        <v>700</v>
      </c>
      <c r="C238" s="16" t="s">
        <v>685</v>
      </c>
      <c r="D238" s="32" t="s">
        <v>795</v>
      </c>
      <c r="E238" s="32"/>
      <c r="F238" s="32"/>
      <c r="G238" s="32" t="s">
        <v>795</v>
      </c>
      <c r="H238" s="32" t="n">
        <f aca="false">IF(Scheda_1!$D$228="Sì",1,0)</f>
        <v>0</v>
      </c>
      <c r="I238" s="32" t="n">
        <f aca="false">IF(Scheda_1!$D$232="Sì",1,0)</f>
        <v>0</v>
      </c>
      <c r="J238" s="32" t="str">
        <f aca="false">IF($B$5="","",IF($B$5="ORD",D238,IF($B$5="CON",E238,IF($B$5="AGI",F238,G238))))</f>
        <v>X</v>
      </c>
      <c r="K238" s="32" t="n">
        <f aca="false">IF(OR(H238=0,I238=0,J238=""),0,IF(IF(J238="X",1,IF(J238="P",$B$6,IF(J238="C",$B$7,IF(J238="DR",$B$8,IF(J238="T",$B$9,0)))))=1,1,0))</f>
        <v>0</v>
      </c>
      <c r="L238" s="32" t="str">
        <f aca="false">IF(K238=0,"",IF(LEN(TRIM(Scheda_1!$D$233&amp;""))=0,"MANCANTE",IF(LEFT(LOWER(TRIM(Scheda_1!$D$233&amp;"")),7)="non not","NON NOTO","ok")))</f>
        <v/>
      </c>
    </row>
    <row r="239" customFormat="false" ht="15" hidden="false" customHeight="false" outlineLevel="0" collapsed="false">
      <c r="A239" s="16" t="s">
        <v>704</v>
      </c>
      <c r="B239" s="31" t="s">
        <v>706</v>
      </c>
      <c r="C239" s="16" t="s">
        <v>705</v>
      </c>
      <c r="D239" s="32" t="s">
        <v>795</v>
      </c>
      <c r="E239" s="32" t="s">
        <v>795</v>
      </c>
      <c r="F239" s="32" t="s">
        <v>795</v>
      </c>
      <c r="G239" s="32" t="s">
        <v>795</v>
      </c>
      <c r="H239" s="32" t="n">
        <v>1</v>
      </c>
      <c r="I239" s="32" t="n">
        <v>1</v>
      </c>
      <c r="J239" s="32" t="str">
        <f aca="false">IF($B$5="","",IF($B$5="ORD",D239,IF($B$5="CON",E239,IF($B$5="AGI",F239,G239))))</f>
        <v>X</v>
      </c>
      <c r="K239" s="32" t="n">
        <f aca="false">IF(H239=1,1,0)</f>
        <v>1</v>
      </c>
      <c r="L239" s="32" t="str">
        <f aca="false">IF(K239=0,"",IF(LEN(TRIM(Scheda_1!$D$236&amp;""))=0,"MANCANTE",IF(LEFT(LOWER(TRIM(Scheda_1!$D$236&amp;"")),7)="non not","NON NOTO","ok")))</f>
        <v>ok</v>
      </c>
    </row>
    <row r="240" customFormat="false" ht="15" hidden="false" customHeight="false" outlineLevel="0" collapsed="false">
      <c r="A240" s="16" t="s">
        <v>707</v>
      </c>
      <c r="B240" s="31" t="s">
        <v>708</v>
      </c>
      <c r="C240" s="16" t="s">
        <v>705</v>
      </c>
      <c r="D240" s="32" t="s">
        <v>795</v>
      </c>
      <c r="E240" s="32" t="s">
        <v>795</v>
      </c>
      <c r="F240" s="32"/>
      <c r="G240" s="32" t="s">
        <v>795</v>
      </c>
      <c r="H240" s="32" t="n">
        <f aca="false">IF(Scheda_1!$D$236="Sì",1,0)</f>
        <v>0</v>
      </c>
      <c r="I240" s="32" t="n">
        <v>1</v>
      </c>
      <c r="J240" s="32" t="str">
        <f aca="false">IF($B$5="","",IF($B$5="ORD",D240,IF($B$5="CON",E240,IF($B$5="AGI",F240,G240))))</f>
        <v>X</v>
      </c>
      <c r="K240" s="32" t="n">
        <f aca="false">IF(OR(H240=0,I240=0,J240=""),0,IF(IF(J240="X",1,IF(J240="P",$B$6,IF(J240="C",$B$7,IF(J240="DR",$B$8,IF(J240="T",$B$9,0)))))=1,1,0))</f>
        <v>0</v>
      </c>
      <c r="L240" s="32" t="str">
        <f aca="false">IF(K240=0,"",IF(LEN(TRIM(Scheda_1!$D$237&amp;""))=0,"MANCANTE",IF(LEFT(LOWER(TRIM(Scheda_1!$D$237&amp;"")),7)="non not","NON NOTO","ok")))</f>
        <v/>
      </c>
    </row>
    <row r="241" customFormat="false" ht="15" hidden="false" customHeight="false" outlineLevel="0" collapsed="false">
      <c r="A241" s="16" t="s">
        <v>710</v>
      </c>
      <c r="B241" s="31" t="s">
        <v>711</v>
      </c>
      <c r="C241" s="16" t="s">
        <v>705</v>
      </c>
      <c r="D241" s="32" t="s">
        <v>795</v>
      </c>
      <c r="E241" s="32" t="s">
        <v>795</v>
      </c>
      <c r="F241" s="32"/>
      <c r="G241" s="32" t="s">
        <v>795</v>
      </c>
      <c r="H241" s="32" t="n">
        <f aca="false">IF(Scheda_1!$D$236="Sì",1,0)</f>
        <v>0</v>
      </c>
      <c r="I241" s="32" t="n">
        <v>1</v>
      </c>
      <c r="J241" s="32" t="str">
        <f aca="false">IF($B$5="","",IF($B$5="ORD",D241,IF($B$5="CON",E241,IF($B$5="AGI",F241,G241))))</f>
        <v>X</v>
      </c>
      <c r="K241" s="32" t="n">
        <f aca="false">IF(OR(H241=0,I241=0,J241=""),0,IF(IF(J241="X",1,IF(J241="P",$B$6,IF(J241="C",$B$7,IF(J241="DR",$B$8,IF(J241="T",$B$9,0)))))=1,1,0))</f>
        <v>0</v>
      </c>
      <c r="L241" s="32" t="str">
        <f aca="false">IF(K241=0,"",IF(LEN(TRIM(Scheda_1!$D$238&amp;""))=0,"MANCANTE",IF(LEFT(LOWER(TRIM(Scheda_1!$D$238&amp;"")),7)="non not","NON NOTO","ok")))</f>
        <v/>
      </c>
    </row>
    <row r="242" customFormat="false" ht="15" hidden="false" customHeight="false" outlineLevel="0" collapsed="false">
      <c r="A242" s="16" t="s">
        <v>713</v>
      </c>
      <c r="B242" s="31" t="s">
        <v>714</v>
      </c>
      <c r="C242" s="16" t="s">
        <v>705</v>
      </c>
      <c r="D242" s="32" t="s">
        <v>795</v>
      </c>
      <c r="E242" s="32" t="s">
        <v>795</v>
      </c>
      <c r="F242" s="32"/>
      <c r="G242" s="32" t="s">
        <v>795</v>
      </c>
      <c r="H242" s="32" t="n">
        <f aca="false">IF(Scheda_1!$D$236="Sì",1,0)</f>
        <v>0</v>
      </c>
      <c r="I242" s="32" t="n">
        <v>1</v>
      </c>
      <c r="J242" s="32" t="str">
        <f aca="false">IF($B$5="","",IF($B$5="ORD",D242,IF($B$5="CON",E242,IF($B$5="AGI",F242,G242))))</f>
        <v>X</v>
      </c>
      <c r="K242" s="32" t="n">
        <f aca="false">IF(OR(H242=0,I242=0,J242=""),0,IF(IF(J242="X",1,IF(J242="P",$B$6,IF(J242="C",$B$7,IF(J242="DR",$B$8,IF(J242="T",$B$9,0)))))=1,1,0))</f>
        <v>0</v>
      </c>
      <c r="L242" s="32" t="str">
        <f aca="false">IF(K242=0,"",IF(LEN(TRIM(Scheda_1!$D$239&amp;""))=0,"MANCANTE",IF(LEFT(LOWER(TRIM(Scheda_1!$D$239&amp;"")),7)="non not","NON NOTO","ok")))</f>
        <v/>
      </c>
    </row>
    <row r="243" customFormat="false" ht="15" hidden="false" customHeight="false" outlineLevel="0" collapsed="false">
      <c r="A243" s="16" t="s">
        <v>718</v>
      </c>
      <c r="B243" s="31" t="s">
        <v>720</v>
      </c>
      <c r="C243" s="16" t="s">
        <v>719</v>
      </c>
      <c r="D243" s="32" t="s">
        <v>795</v>
      </c>
      <c r="E243" s="32" t="s">
        <v>795</v>
      </c>
      <c r="F243" s="32" t="s">
        <v>795</v>
      </c>
      <c r="G243" s="32" t="s">
        <v>795</v>
      </c>
      <c r="H243" s="32" t="n">
        <v>1</v>
      </c>
      <c r="I243" s="32" t="n">
        <v>1</v>
      </c>
      <c r="J243" s="32" t="str">
        <f aca="false">IF($B$5="","",IF($B$5="ORD",D243,IF($B$5="CON",E243,IF($B$5="AGI",F243,G243))))</f>
        <v>X</v>
      </c>
      <c r="K243" s="32" t="n">
        <f aca="false">IF(H243=1,1,0)</f>
        <v>1</v>
      </c>
      <c r="L243" s="32" t="str">
        <f aca="false">IF(K243=0,"",IF(LEN(TRIM(Scheda_1!$D$242&amp;""))=0,"MANCANTE",IF(LEFT(LOWER(TRIM(Scheda_1!$D$242&amp;"")),7)="non not","NON NOTO","ok")))</f>
        <v>ok</v>
      </c>
    </row>
    <row r="244" customFormat="false" ht="15" hidden="false" customHeight="false" outlineLevel="0" collapsed="false">
      <c r="A244" s="16" t="s">
        <v>721</v>
      </c>
      <c r="B244" s="31" t="s">
        <v>722</v>
      </c>
      <c r="C244" s="16" t="s">
        <v>719</v>
      </c>
      <c r="D244" s="32" t="s">
        <v>795</v>
      </c>
      <c r="E244" s="32" t="s">
        <v>795</v>
      </c>
      <c r="F244" s="32" t="s">
        <v>795</v>
      </c>
      <c r="G244" s="32" t="s">
        <v>795</v>
      </c>
      <c r="H244" s="32" t="n">
        <f aca="false">IF(Scheda_1!$D$242="Sì",1,0)</f>
        <v>0</v>
      </c>
      <c r="I244" s="32" t="n">
        <v>1</v>
      </c>
      <c r="J244" s="32" t="str">
        <f aca="false">IF($B$5="","",IF($B$5="ORD",D244,IF($B$5="CON",E244,IF($B$5="AGI",F244,G244))))</f>
        <v>X</v>
      </c>
      <c r="K244" s="32" t="n">
        <f aca="false">IF(OR(H244=0,I244=0,J244=""),0,IF(IF(J244="X",1,IF(J244="P",$B$6,IF(J244="C",$B$7,IF(J244="DR",$B$8,IF(J244="T",$B$9,0)))))=1,1,0))</f>
        <v>0</v>
      </c>
      <c r="L244" s="32" t="str">
        <f aca="false">IF(K244=0,"",IF(LEN(TRIM(Scheda_1!$D$243&amp;""))=0,"MANCANTE",IF(LEFT(LOWER(TRIM(Scheda_1!$D$243&amp;"")),7)="non not","NON NOTO","ok")))</f>
        <v/>
      </c>
    </row>
    <row r="245" customFormat="false" ht="15" hidden="false" customHeight="false" outlineLevel="0" collapsed="false">
      <c r="A245" s="16" t="s">
        <v>724</v>
      </c>
      <c r="B245" s="31" t="s">
        <v>725</v>
      </c>
      <c r="C245" s="16" t="s">
        <v>719</v>
      </c>
      <c r="D245" s="32" t="s">
        <v>795</v>
      </c>
      <c r="E245" s="32" t="s">
        <v>795</v>
      </c>
      <c r="F245" s="32" t="s">
        <v>795</v>
      </c>
      <c r="G245" s="32" t="s">
        <v>795</v>
      </c>
      <c r="H245" s="32" t="n">
        <f aca="false">IF(Scheda_1!$D$242="Sì",1,0)</f>
        <v>0</v>
      </c>
      <c r="I245" s="32" t="n">
        <v>1</v>
      </c>
      <c r="J245" s="32" t="str">
        <f aca="false">IF($B$5="","",IF($B$5="ORD",D245,IF($B$5="CON",E245,IF($B$5="AGI",F245,G245))))</f>
        <v>X</v>
      </c>
      <c r="K245" s="32" t="n">
        <f aca="false">IF(OR(H245=0,I245=0,J245=""),0,IF(IF(J245="X",1,IF(J245="P",$B$6,IF(J245="C",$B$7,IF(J245="DR",$B$8,IF(J245="T",$B$9,0)))))=1,1,0))</f>
        <v>0</v>
      </c>
      <c r="L245" s="32" t="str">
        <f aca="false">IF(K245=0,"",IF(LEN(TRIM(Scheda_1!$D$244&amp;""))=0,"MANCANTE",IF(LEFT(LOWER(TRIM(Scheda_1!$D$244&amp;"")),7)="non not","NON NOTO","ok")))</f>
        <v/>
      </c>
    </row>
    <row r="246" customFormat="false" ht="15" hidden="false" customHeight="false" outlineLevel="0" collapsed="false">
      <c r="A246" s="16" t="s">
        <v>727</v>
      </c>
      <c r="B246" s="31" t="s">
        <v>728</v>
      </c>
      <c r="C246" s="16" t="s">
        <v>719</v>
      </c>
      <c r="D246" s="32" t="s">
        <v>795</v>
      </c>
      <c r="E246" s="32" t="s">
        <v>795</v>
      </c>
      <c r="F246" s="32" t="s">
        <v>795</v>
      </c>
      <c r="G246" s="32" t="s">
        <v>795</v>
      </c>
      <c r="H246" s="32" t="n">
        <f aca="false">IF(Scheda_1!$D$242="Sì",1,0)</f>
        <v>0</v>
      </c>
      <c r="I246" s="32" t="n">
        <v>1</v>
      </c>
      <c r="J246" s="32" t="str">
        <f aca="false">IF($B$5="","",IF($B$5="ORD",D246,IF($B$5="CON",E246,IF($B$5="AGI",F246,G246))))</f>
        <v>X</v>
      </c>
      <c r="K246" s="32" t="n">
        <f aca="false">IF(OR(H246=0,I246=0,J246=""),0,IF(IF(J246="X",1,IF(J246="P",$B$6,IF(J246="C",$B$7,IF(J246="DR",$B$8,IF(J246="T",$B$9,0)))))=1,1,0))</f>
        <v>0</v>
      </c>
      <c r="L246" s="32" t="str">
        <f aca="false">IF(K246=0,"",IF(LEN(TRIM(Scheda_1!$D$245&amp;""))=0,"MANCANTE",IF(LEFT(LOWER(TRIM(Scheda_1!$D$245&amp;"")),7)="non not","NON NOTO","ok")))</f>
        <v/>
      </c>
    </row>
    <row r="247" customFormat="false" ht="15" hidden="false" customHeight="false" outlineLevel="0" collapsed="false">
      <c r="A247" s="16" t="s">
        <v>730</v>
      </c>
      <c r="B247" s="31" t="s">
        <v>731</v>
      </c>
      <c r="C247" s="16" t="s">
        <v>719</v>
      </c>
      <c r="D247" s="32" t="s">
        <v>795</v>
      </c>
      <c r="E247" s="32" t="s">
        <v>795</v>
      </c>
      <c r="F247" s="32" t="s">
        <v>795</v>
      </c>
      <c r="G247" s="32" t="s">
        <v>795</v>
      </c>
      <c r="H247" s="32" t="n">
        <f aca="false">IF(Scheda_1!$D$242="Sì",1,0)</f>
        <v>0</v>
      </c>
      <c r="I247" s="32" t="n">
        <v>1</v>
      </c>
      <c r="J247" s="32" t="str">
        <f aca="false">IF($B$5="","",IF($B$5="ORD",D247,IF($B$5="CON",E247,IF($B$5="AGI",F247,G247))))</f>
        <v>X</v>
      </c>
      <c r="K247" s="32" t="n">
        <f aca="false">IF(OR(H247=0,I247=0,J247=""),0,IF(IF(J247="X",1,IF(J247="P",$B$6,IF(J247="C",$B$7,IF(J247="DR",$B$8,IF(J247="T",$B$9,0)))))=1,1,0))</f>
        <v>0</v>
      </c>
      <c r="L247" s="32" t="str">
        <f aca="false">IF(K247=0,"",IF(LEN(TRIM(Scheda_1!$D$246&amp;""))=0,"MANCANTE",IF(LEFT(LOWER(TRIM(Scheda_1!$D$246&amp;"")),7)="non not","NON NOTO","ok")))</f>
        <v/>
      </c>
    </row>
    <row r="248" customFormat="false" ht="15" hidden="false" customHeight="false" outlineLevel="0" collapsed="false">
      <c r="A248" s="16" t="s">
        <v>733</v>
      </c>
      <c r="B248" s="31" t="s">
        <v>734</v>
      </c>
      <c r="C248" s="16" t="s">
        <v>719</v>
      </c>
      <c r="D248" s="32" t="s">
        <v>795</v>
      </c>
      <c r="E248" s="32" t="s">
        <v>795</v>
      </c>
      <c r="F248" s="32" t="s">
        <v>795</v>
      </c>
      <c r="G248" s="32" t="s">
        <v>795</v>
      </c>
      <c r="H248" s="32" t="n">
        <f aca="false">IF(Scheda_1!$D$242="Sì",1,0)</f>
        <v>0</v>
      </c>
      <c r="I248" s="32" t="n">
        <v>1</v>
      </c>
      <c r="J248" s="32" t="str">
        <f aca="false">IF($B$5="","",IF($B$5="ORD",D248,IF($B$5="CON",E248,IF($B$5="AGI",F248,G248))))</f>
        <v>X</v>
      </c>
      <c r="K248" s="32" t="n">
        <f aca="false">IF(OR(H248=0,I248=0,J248=""),0,IF(IF(J248="X",1,IF(J248="P",$B$6,IF(J248="C",$B$7,IF(J248="DR",$B$8,IF(J248="T",$B$9,0)))))=1,1,0))</f>
        <v>0</v>
      </c>
      <c r="L248" s="32" t="str">
        <f aca="false">IF(K248=0,"",IF(LEN(TRIM(Scheda_1!$D$247&amp;""))=0,"MANCANTE",IF(LEFT(LOWER(TRIM(Scheda_1!$D$247&amp;"")),7)="non not","NON NOTO","ok")))</f>
        <v/>
      </c>
    </row>
    <row r="249" customFormat="false" ht="15" hidden="false" customHeight="false" outlineLevel="0" collapsed="false">
      <c r="A249" s="16" t="s">
        <v>736</v>
      </c>
      <c r="B249" s="31" t="s">
        <v>737</v>
      </c>
      <c r="C249" s="16" t="s">
        <v>719</v>
      </c>
      <c r="D249" s="32" t="s">
        <v>795</v>
      </c>
      <c r="E249" s="32" t="s">
        <v>795</v>
      </c>
      <c r="F249" s="32" t="s">
        <v>795</v>
      </c>
      <c r="G249" s="32" t="s">
        <v>795</v>
      </c>
      <c r="H249" s="32" t="n">
        <f aca="false">IF(Scheda_1!$D$242="Sì",1,0)</f>
        <v>0</v>
      </c>
      <c r="I249" s="32" t="n">
        <v>1</v>
      </c>
      <c r="J249" s="32" t="str">
        <f aca="false">IF($B$5="","",IF($B$5="ORD",D249,IF($B$5="CON",E249,IF($B$5="AGI",F249,G249))))</f>
        <v>X</v>
      </c>
      <c r="K249" s="32" t="n">
        <f aca="false">IF(OR(H249=0,I249=0,J249=""),0,IF(IF(J249="X",1,IF(J249="P",$B$6,IF(J249="C",$B$7,IF(J249="DR",$B$8,IF(J249="T",$B$9,0)))))=1,1,0))</f>
        <v>0</v>
      </c>
      <c r="L249" s="32" t="str">
        <f aca="false">IF(K249=0,"",IF(LEN(TRIM(Scheda_1!$D$248&amp;""))=0,"MANCANTE",IF(LEFT(LOWER(TRIM(Scheda_1!$D$248&amp;"")),7)="non not","NON NOTO","ok")))</f>
        <v/>
      </c>
    </row>
    <row r="250" customFormat="false" ht="15" hidden="false" customHeight="false" outlineLevel="0" collapsed="false">
      <c r="A250" s="16" t="s">
        <v>739</v>
      </c>
      <c r="B250" s="31" t="s">
        <v>740</v>
      </c>
      <c r="C250" s="16" t="s">
        <v>719</v>
      </c>
      <c r="D250" s="32" t="s">
        <v>795</v>
      </c>
      <c r="E250" s="32" t="s">
        <v>795</v>
      </c>
      <c r="F250" s="32" t="s">
        <v>795</v>
      </c>
      <c r="G250" s="32" t="s">
        <v>795</v>
      </c>
      <c r="H250" s="32" t="n">
        <f aca="false">IF(Scheda_1!$D$242="Sì",1,0)</f>
        <v>0</v>
      </c>
      <c r="I250" s="32" t="n">
        <v>1</v>
      </c>
      <c r="J250" s="32" t="str">
        <f aca="false">IF($B$5="","",IF($B$5="ORD",D250,IF($B$5="CON",E250,IF($B$5="AGI",F250,G250))))</f>
        <v>X</v>
      </c>
      <c r="K250" s="32" t="n">
        <f aca="false">IF(OR(H250=0,I250=0,J250=""),0,IF(IF(J250="X",1,IF(J250="P",$B$6,IF(J250="C",$B$7,IF(J250="DR",$B$8,IF(J250="T",$B$9,0)))))=1,1,0))</f>
        <v>0</v>
      </c>
      <c r="L250" s="32" t="str">
        <f aca="false">IF(K250=0,"",IF(LEN(TRIM(Scheda_1!$D$249&amp;""))=0,"MANCANTE",IF(LEFT(LOWER(TRIM(Scheda_1!$D$249&amp;"")),7)="non not","NON NOTO","ok")))</f>
        <v/>
      </c>
    </row>
    <row r="251" customFormat="false" ht="15" hidden="false" customHeight="false" outlineLevel="0" collapsed="false">
      <c r="A251" s="16" t="s">
        <v>742</v>
      </c>
      <c r="B251" s="31" t="s">
        <v>743</v>
      </c>
      <c r="C251" s="16" t="s">
        <v>719</v>
      </c>
      <c r="D251" s="32" t="s">
        <v>795</v>
      </c>
      <c r="E251" s="32" t="s">
        <v>795</v>
      </c>
      <c r="F251" s="32" t="s">
        <v>795</v>
      </c>
      <c r="G251" s="32" t="s">
        <v>795</v>
      </c>
      <c r="H251" s="32" t="n">
        <f aca="false">IF(Scheda_1!$D$242="Sì",1,0)</f>
        <v>0</v>
      </c>
      <c r="I251" s="32" t="n">
        <v>1</v>
      </c>
      <c r="J251" s="32" t="str">
        <f aca="false">IF($B$5="","",IF($B$5="ORD",D251,IF($B$5="CON",E251,IF($B$5="AGI",F251,G251))))</f>
        <v>X</v>
      </c>
      <c r="K251" s="32" t="n">
        <f aca="false">IF(OR(H251=0,I251=0,J251=""),0,IF(IF(J251="X",1,IF(J251="P",$B$6,IF(J251="C",$B$7,IF(J251="DR",$B$8,IF(J251="T",$B$9,0)))))=1,1,0))</f>
        <v>0</v>
      </c>
      <c r="L251" s="32" t="str">
        <f aca="false">IF(K251=0,"",IF(LEN(TRIM(Scheda_1!$D$250&amp;""))=0,"MANCANTE",IF(LEFT(LOWER(TRIM(Scheda_1!$D$250&amp;"")),7)="non not","NON NOTO","ok")))</f>
        <v/>
      </c>
    </row>
    <row r="252" customFormat="false" ht="15" hidden="false" customHeight="false" outlineLevel="0" collapsed="false">
      <c r="A252" s="16" t="s">
        <v>745</v>
      </c>
      <c r="B252" s="31" t="s">
        <v>746</v>
      </c>
      <c r="C252" s="16" t="s">
        <v>719</v>
      </c>
      <c r="D252" s="32" t="s">
        <v>795</v>
      </c>
      <c r="E252" s="32" t="s">
        <v>795</v>
      </c>
      <c r="F252" s="32" t="s">
        <v>795</v>
      </c>
      <c r="G252" s="32" t="s">
        <v>795</v>
      </c>
      <c r="H252" s="32" t="n">
        <f aca="false">IF(Scheda_1!$D$242="Sì",1,0)</f>
        <v>0</v>
      </c>
      <c r="I252" s="32" t="n">
        <v>1</v>
      </c>
      <c r="J252" s="32" t="str">
        <f aca="false">IF($B$5="","",IF($B$5="ORD",D252,IF($B$5="CON",E252,IF($B$5="AGI",F252,G252))))</f>
        <v>X</v>
      </c>
      <c r="K252" s="32" t="n">
        <f aca="false">IF(OR(H252=0,I252=0,J252=""),0,IF(IF(J252="X",1,IF(J252="P",$B$6,IF(J252="C",$B$7,IF(J252="DR",$B$8,IF(J252="T",$B$9,0)))))=1,1,0))</f>
        <v>0</v>
      </c>
      <c r="L252" s="32" t="str">
        <f aca="false">IF(K252=0,"",IF(LEN(TRIM(Scheda_1!$D$251&amp;""))=0,"MANCANTE",IF(LEFT(LOWER(TRIM(Scheda_1!$D$251&amp;"")),7)="non not","NON NOTO","ok")))</f>
        <v/>
      </c>
    </row>
    <row r="253" customFormat="false" ht="15" hidden="false" customHeight="false" outlineLevel="0" collapsed="false">
      <c r="A253" s="16" t="s">
        <v>748</v>
      </c>
      <c r="B253" s="31" t="s">
        <v>749</v>
      </c>
      <c r="C253" s="16" t="s">
        <v>719</v>
      </c>
      <c r="D253" s="32" t="s">
        <v>795</v>
      </c>
      <c r="E253" s="32" t="s">
        <v>795</v>
      </c>
      <c r="F253" s="32" t="s">
        <v>795</v>
      </c>
      <c r="G253" s="32" t="s">
        <v>795</v>
      </c>
      <c r="H253" s="32" t="n">
        <f aca="false">IF(Scheda_1!$D$242="Sì",1,0)</f>
        <v>0</v>
      </c>
      <c r="I253" s="32" t="n">
        <v>1</v>
      </c>
      <c r="J253" s="32" t="str">
        <f aca="false">IF($B$5="","",IF($B$5="ORD",D253,IF($B$5="CON",E253,IF($B$5="AGI",F253,G253))))</f>
        <v>X</v>
      </c>
      <c r="K253" s="32" t="n">
        <f aca="false">IF(OR(H253=0,I253=0,J253=""),0,IF(IF(J253="X",1,IF(J253="P",$B$6,IF(J253="C",$B$7,IF(J253="DR",$B$8,IF(J253="T",$B$9,0)))))=1,1,0))</f>
        <v>0</v>
      </c>
      <c r="L253" s="32" t="str">
        <f aca="false">IF(K253=0,"",IF(LEN(TRIM(Scheda_1!$D$252&amp;""))=0,"MANCANTE",IF(LEFT(LOWER(TRIM(Scheda_1!$D$252&amp;"")),7)="non not","NON NOTO","ok")))</f>
        <v/>
      </c>
    </row>
  </sheetData>
  <mergeCells count="13">
    <mergeCell ref="B17:L17"/>
    <mergeCell ref="B18:L18"/>
    <mergeCell ref="B19:L19"/>
    <mergeCell ref="B20:L20"/>
    <mergeCell ref="B21:L21"/>
    <mergeCell ref="B22:L22"/>
    <mergeCell ref="B23:L23"/>
    <mergeCell ref="B24:L24"/>
    <mergeCell ref="B25:L25"/>
    <mergeCell ref="B26:L26"/>
    <mergeCell ref="B27:L27"/>
    <mergeCell ref="B28:L28"/>
    <mergeCell ref="B29:L29"/>
  </mergeCells>
  <conditionalFormatting sqref="B13">
    <cfRule type="expression" priority="2" aboveAverage="0" equalAverage="0" bottom="0" percent="0" rank="0" text="" dxfId="5">
      <formula>$B$13&gt;0</formula>
    </cfRule>
    <cfRule type="expression" priority="3" aboveAverage="0" equalAverage="0" bottom="0" percent="0" rank="0" text="" dxfId="6">
      <formula>$B$13=0</formula>
    </cfRule>
  </conditionalFormatting>
  <conditionalFormatting sqref="B17:L29">
    <cfRule type="expression" priority="4" aboveAverage="0" equalAverage="0" bottom="0" percent="0" rank="0" text="" dxfId="7">
      <formula>LEFT($B17,10)="ATTENZIONE"</formula>
    </cfRule>
  </conditionalFormatting>
  <conditionalFormatting sqref="A33:L253">
    <cfRule type="expression" priority="5" aboveAverage="0" equalAverage="0" bottom="0" percent="0" rank="0" text="" dxfId="1">
      <formula>$L33="MANCANTE"</formula>
    </cfRule>
    <cfRule type="expression" priority="6" aboveAverage="0" equalAverage="0" bottom="0" percent="0" rank="0" text="" dxfId="2">
      <formula>$L33="NON NOTO"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4" min="4" style="0" width="36"/>
    <col collapsed="false" customWidth="true" hidden="false" outlineLevel="0" max="5" min="5" style="0" width="8"/>
    <col collapsed="false" customWidth="true" hidden="false" outlineLevel="0" max="6" min="6" style="0" width="34"/>
    <col collapsed="false" customWidth="true" hidden="false" outlineLevel="0" max="7" min="7" style="0" width="52"/>
    <col collapsed="false" customWidth="true" hidden="false" outlineLevel="0" max="8" min="8" style="0" width="13"/>
    <col collapsed="false" customWidth="true" hidden="true" outlineLevel="0" max="9" min="9" style="0" width="4"/>
  </cols>
  <sheetData>
    <row r="1" customFormat="false" ht="25.5" hidden="false" customHeight="true" outlineLevel="0" collapsed="false">
      <c r="A1" s="7"/>
      <c r="B1" s="7"/>
      <c r="C1" s="8" t="s">
        <v>0</v>
      </c>
      <c r="D1" s="7"/>
      <c r="E1" s="7"/>
      <c r="F1" s="7"/>
      <c r="G1" s="7"/>
      <c r="H1" s="7"/>
    </row>
    <row r="2" customFormat="false" ht="18" hidden="false" customHeight="true" outlineLevel="0" collapsed="false">
      <c r="A2" s="7"/>
      <c r="B2" s="7"/>
      <c r="C2" s="9" t="s">
        <v>800</v>
      </c>
      <c r="D2" s="7"/>
      <c r="E2" s="7"/>
      <c r="F2" s="7"/>
      <c r="G2" s="7"/>
      <c r="H2" s="7"/>
    </row>
    <row r="3" customFormat="false" ht="18" hidden="false" customHeight="true" outlineLevel="0" collapsed="false">
      <c r="A3" s="7"/>
      <c r="B3" s="7"/>
      <c r="C3" s="10" t="s">
        <v>28</v>
      </c>
      <c r="D3" s="7"/>
      <c r="E3" s="7"/>
      <c r="F3" s="7"/>
      <c r="G3" s="7"/>
      <c r="H3" s="7"/>
    </row>
    <row r="4" customFormat="false" ht="3.75" hidden="false" customHeight="true" outlineLevel="0" collapsed="false">
      <c r="A4" s="11"/>
      <c r="B4" s="11"/>
      <c r="C4" s="11"/>
      <c r="D4" s="11"/>
      <c r="E4" s="11"/>
      <c r="F4" s="11"/>
      <c r="G4" s="11"/>
      <c r="H4" s="11"/>
    </row>
    <row r="5" customFormat="false" ht="21.75" hidden="false" customHeight="true" outlineLevel="0" collapsed="false">
      <c r="C5" s="12" t="str">
        <f aca="false">"Dati obbligatori mancanti: "&amp;Controlli_2!$B$13&amp;"   –   dati dichiarati «non noti»: "&amp;Controlli_2!$B$14&amp;"   –   campi richiesti per questo procedimento: "&amp;Controlli_2!$B$11</f>
        <v>Dati obbligatori mancanti: 2   –   dati dichiarati «non noti»: 2   –   campi richiesti per questo procedimento: 44</v>
      </c>
      <c r="D5" s="12"/>
      <c r="E5" s="12"/>
      <c r="F5" s="12"/>
      <c r="G5" s="12"/>
    </row>
    <row r="6" customFormat="false" ht="21.75" hidden="false" customHeight="true" outlineLevel="0" collapsed="false">
      <c r="A6" s="13" t="s">
        <v>29</v>
      </c>
      <c r="B6" s="13" t="s">
        <v>30</v>
      </c>
      <c r="C6" s="13" t="s">
        <v>31</v>
      </c>
      <c r="D6" s="13" t="s">
        <v>32</v>
      </c>
      <c r="E6" s="13" t="s">
        <v>33</v>
      </c>
      <c r="F6" s="13" t="s">
        <v>34</v>
      </c>
      <c r="G6" s="13" t="s">
        <v>35</v>
      </c>
      <c r="H6" s="13" t="s">
        <v>36</v>
      </c>
    </row>
    <row r="7" customFormat="false" ht="19.5" hidden="false" customHeight="true" outlineLevel="0" collapsed="false">
      <c r="A7" s="14" t="s">
        <v>37</v>
      </c>
      <c r="B7" s="14"/>
      <c r="C7" s="14"/>
      <c r="D7" s="14"/>
      <c r="E7" s="14"/>
      <c r="F7" s="14"/>
      <c r="G7" s="14"/>
      <c r="H7" s="14"/>
    </row>
    <row r="8" customFormat="false" ht="15" hidden="false" customHeight="false" outlineLevel="0" collapsed="false">
      <c r="A8" s="15" t="s">
        <v>38</v>
      </c>
      <c r="B8" s="15"/>
      <c r="C8" s="15"/>
      <c r="D8" s="15"/>
      <c r="E8" s="15"/>
      <c r="F8" s="15"/>
      <c r="G8" s="15"/>
      <c r="H8" s="15"/>
    </row>
    <row r="9" customFormat="false" ht="15" hidden="false" customHeight="false" outlineLevel="0" collapsed="false">
      <c r="A9" s="16" t="s">
        <v>39</v>
      </c>
      <c r="B9" s="16" t="s">
        <v>40</v>
      </c>
      <c r="C9" s="5" t="s">
        <v>41</v>
      </c>
      <c r="D9" s="17" t="s">
        <v>42</v>
      </c>
      <c r="E9" s="16"/>
      <c r="F9" s="18" t="s">
        <v>43</v>
      </c>
      <c r="G9" s="18" t="s">
        <v>44</v>
      </c>
      <c r="H9" s="19" t="str">
        <f aca="false">Controlli_2!$L$33</f>
        <v/>
      </c>
    </row>
    <row r="10" customFormat="false" ht="23.85" hidden="false" customHeight="false" outlineLevel="0" collapsed="false">
      <c r="A10" s="16" t="s">
        <v>45</v>
      </c>
      <c r="B10" s="16" t="s">
        <v>40</v>
      </c>
      <c r="C10" s="5" t="s">
        <v>46</v>
      </c>
      <c r="D10" s="17" t="s">
        <v>47</v>
      </c>
      <c r="E10" s="16"/>
      <c r="F10" s="18" t="s">
        <v>43</v>
      </c>
      <c r="G10" s="18" t="s">
        <v>48</v>
      </c>
      <c r="H10" s="19" t="str">
        <f aca="false">Controlli_2!$L$34</f>
        <v/>
      </c>
    </row>
    <row r="11" customFormat="false" ht="25.35" hidden="false" customHeight="false" outlineLevel="0" collapsed="false">
      <c r="A11" s="16" t="s">
        <v>49</v>
      </c>
      <c r="B11" s="16" t="s">
        <v>40</v>
      </c>
      <c r="C11" s="5" t="s">
        <v>50</v>
      </c>
      <c r="D11" s="17" t="s">
        <v>51</v>
      </c>
      <c r="E11" s="16"/>
      <c r="F11" s="18" t="s">
        <v>43</v>
      </c>
      <c r="G11" s="18" t="s">
        <v>52</v>
      </c>
      <c r="H11" s="19" t="str">
        <f aca="false">Controlli_2!$L$35</f>
        <v/>
      </c>
    </row>
    <row r="12" customFormat="false" ht="25.35" hidden="false" customHeight="false" outlineLevel="0" collapsed="false">
      <c r="A12" s="16" t="s">
        <v>53</v>
      </c>
      <c r="B12" s="16" t="s">
        <v>40</v>
      </c>
      <c r="C12" s="5" t="s">
        <v>54</v>
      </c>
      <c r="D12" s="17" t="s">
        <v>55</v>
      </c>
      <c r="E12" s="16"/>
      <c r="F12" s="18" t="s">
        <v>43</v>
      </c>
      <c r="G12" s="18" t="s">
        <v>56</v>
      </c>
      <c r="H12" s="19" t="str">
        <f aca="false">Controlli_2!$L$36</f>
        <v/>
      </c>
    </row>
    <row r="13" customFormat="false" ht="15" hidden="false" customHeight="false" outlineLevel="0" collapsed="false">
      <c r="A13" s="16" t="s">
        <v>57</v>
      </c>
      <c r="B13" s="16" t="s">
        <v>40</v>
      </c>
      <c r="C13" s="5" t="s">
        <v>58</v>
      </c>
      <c r="D13" s="17" t="s">
        <v>59</v>
      </c>
      <c r="E13" s="16"/>
      <c r="F13" s="18" t="s">
        <v>43</v>
      </c>
      <c r="G13" s="18" t="s">
        <v>60</v>
      </c>
      <c r="H13" s="19" t="str">
        <f aca="false">Controlli_2!$L$37</f>
        <v/>
      </c>
    </row>
    <row r="14" customFormat="false" ht="15" hidden="false" customHeight="false" outlineLevel="0" collapsed="false">
      <c r="A14" s="16" t="s">
        <v>61</v>
      </c>
      <c r="B14" s="16" t="s">
        <v>40</v>
      </c>
      <c r="C14" s="5" t="s">
        <v>62</v>
      </c>
      <c r="D14" s="17" t="s">
        <v>63</v>
      </c>
      <c r="E14" s="16"/>
      <c r="F14" s="18" t="s">
        <v>43</v>
      </c>
      <c r="G14" s="18" t="s">
        <v>64</v>
      </c>
      <c r="H14" s="19" t="str">
        <f aca="false">Controlli_2!$L$38</f>
        <v/>
      </c>
    </row>
    <row r="15" customFormat="false" ht="15" hidden="false" customHeight="false" outlineLevel="0" collapsed="false">
      <c r="A15" s="16" t="s">
        <v>65</v>
      </c>
      <c r="B15" s="16" t="s">
        <v>40</v>
      </c>
      <c r="C15" s="5" t="s">
        <v>66</v>
      </c>
      <c r="D15" s="17" t="s">
        <v>67</v>
      </c>
      <c r="E15" s="16"/>
      <c r="F15" s="18" t="s">
        <v>43</v>
      </c>
      <c r="G15" s="18" t="s">
        <v>68</v>
      </c>
      <c r="H15" s="19" t="str">
        <f aca="false">Controlli_2!$L$39</f>
        <v/>
      </c>
    </row>
    <row r="16" customFormat="false" ht="19.5" hidden="false" customHeight="true" outlineLevel="0" collapsed="false">
      <c r="A16" s="14" t="s">
        <v>69</v>
      </c>
      <c r="B16" s="14"/>
      <c r="C16" s="14"/>
      <c r="D16" s="14"/>
      <c r="E16" s="14"/>
      <c r="F16" s="14"/>
      <c r="G16" s="14"/>
      <c r="H16" s="14"/>
    </row>
    <row r="17" customFormat="false" ht="15" hidden="false" customHeight="false" outlineLevel="0" collapsed="false">
      <c r="A17" s="15" t="s">
        <v>70</v>
      </c>
      <c r="B17" s="15"/>
      <c r="C17" s="15"/>
      <c r="D17" s="15"/>
      <c r="E17" s="15"/>
      <c r="F17" s="15"/>
      <c r="G17" s="15"/>
      <c r="H17" s="15"/>
    </row>
    <row r="18" customFormat="false" ht="25.35" hidden="false" customHeight="false" outlineLevel="0" collapsed="false">
      <c r="A18" s="16" t="s">
        <v>71</v>
      </c>
      <c r="B18" s="16" t="s">
        <v>72</v>
      </c>
      <c r="C18" s="20" t="s">
        <v>73</v>
      </c>
      <c r="D18" s="21" t="s">
        <v>801</v>
      </c>
      <c r="E18" s="16"/>
      <c r="F18" s="18" t="s">
        <v>75</v>
      </c>
      <c r="G18" s="18" t="s">
        <v>76</v>
      </c>
      <c r="H18" s="19" t="str">
        <f aca="false">Controlli_2!$L$40</f>
        <v>ok</v>
      </c>
      <c r="I18" s="0" t="n">
        <v>1</v>
      </c>
    </row>
    <row r="19" customFormat="false" ht="15" hidden="false" customHeight="false" outlineLevel="0" collapsed="false">
      <c r="A19" s="16" t="s">
        <v>77</v>
      </c>
      <c r="B19" s="16" t="s">
        <v>72</v>
      </c>
      <c r="C19" s="20" t="s">
        <v>78</v>
      </c>
      <c r="D19" s="21" t="s">
        <v>802</v>
      </c>
      <c r="E19" s="16"/>
      <c r="F19" s="18" t="s">
        <v>75</v>
      </c>
      <c r="G19" s="18" t="s">
        <v>80</v>
      </c>
      <c r="H19" s="19" t="str">
        <f aca="false">Controlli_2!$L$41</f>
        <v>ok</v>
      </c>
      <c r="I19" s="0" t="n">
        <v>1</v>
      </c>
    </row>
    <row r="20" customFormat="false" ht="23.85" hidden="false" customHeight="false" outlineLevel="0" collapsed="false">
      <c r="A20" s="16" t="s">
        <v>81</v>
      </c>
      <c r="B20" s="16" t="s">
        <v>72</v>
      </c>
      <c r="C20" s="5" t="s">
        <v>82</v>
      </c>
      <c r="D20" s="21" t="s">
        <v>803</v>
      </c>
      <c r="E20" s="16"/>
      <c r="F20" s="18" t="s">
        <v>84</v>
      </c>
      <c r="G20" s="18" t="s">
        <v>85</v>
      </c>
      <c r="H20" s="19" t="str">
        <f aca="false">Controlli_2!$L$42</f>
        <v>ok</v>
      </c>
      <c r="I20" s="0" t="n">
        <v>1</v>
      </c>
    </row>
    <row r="21" customFormat="false" ht="49.25" hidden="false" customHeight="false" outlineLevel="0" collapsed="false">
      <c r="A21" s="16" t="s">
        <v>86</v>
      </c>
      <c r="B21" s="16" t="s">
        <v>72</v>
      </c>
      <c r="C21" s="5" t="s">
        <v>87</v>
      </c>
      <c r="D21" s="21" t="s">
        <v>804</v>
      </c>
      <c r="E21" s="16"/>
      <c r="F21" s="18" t="s">
        <v>89</v>
      </c>
      <c r="G21" s="18" t="s">
        <v>90</v>
      </c>
      <c r="H21" s="19" t="str">
        <f aca="false">Controlli_2!$L$43</f>
        <v>ok</v>
      </c>
      <c r="I21" s="0" t="n">
        <v>1</v>
      </c>
    </row>
    <row r="22" customFormat="false" ht="23.85" hidden="false" customHeight="false" outlineLevel="0" collapsed="false">
      <c r="A22" s="16" t="s">
        <v>91</v>
      </c>
      <c r="B22" s="16" t="s">
        <v>72</v>
      </c>
      <c r="C22" s="5" t="s">
        <v>92</v>
      </c>
      <c r="D22" s="22" t="n">
        <v>46297</v>
      </c>
      <c r="E22" s="16"/>
      <c r="F22" s="18" t="s">
        <v>75</v>
      </c>
      <c r="G22" s="18" t="s">
        <v>93</v>
      </c>
      <c r="H22" s="19" t="str">
        <f aca="false">Controlli_2!$L$44</f>
        <v>ok</v>
      </c>
      <c r="I22" s="0" t="n">
        <v>1</v>
      </c>
    </row>
    <row r="23" customFormat="false" ht="15" hidden="false" customHeight="false" outlineLevel="0" collapsed="false">
      <c r="A23" s="16" t="s">
        <v>94</v>
      </c>
      <c r="B23" s="16" t="s">
        <v>72</v>
      </c>
      <c r="C23" s="5" t="s">
        <v>95</v>
      </c>
      <c r="D23" s="22"/>
      <c r="E23" s="16"/>
      <c r="F23" s="18" t="s">
        <v>96</v>
      </c>
      <c r="G23" s="18" t="s">
        <v>97</v>
      </c>
      <c r="H23" s="19" t="str">
        <f aca="false">Controlli_2!$L$45</f>
        <v/>
      </c>
      <c r="I23" s="0" t="n">
        <v>1</v>
      </c>
    </row>
    <row r="24" customFormat="false" ht="19.5" hidden="false" customHeight="true" outlineLevel="0" collapsed="false">
      <c r="A24" s="14" t="s">
        <v>98</v>
      </c>
      <c r="B24" s="14"/>
      <c r="C24" s="14"/>
      <c r="D24" s="14"/>
      <c r="E24" s="14"/>
      <c r="F24" s="14"/>
      <c r="G24" s="14"/>
      <c r="H24" s="14"/>
    </row>
    <row r="25" customFormat="false" ht="15" hidden="false" customHeight="false" outlineLevel="0" collapsed="false">
      <c r="A25" s="15" t="s">
        <v>99</v>
      </c>
      <c r="B25" s="15"/>
      <c r="C25" s="15"/>
      <c r="D25" s="15"/>
      <c r="E25" s="15"/>
      <c r="F25" s="15"/>
      <c r="G25" s="15"/>
      <c r="H25" s="15"/>
    </row>
    <row r="26" customFormat="false" ht="25.35" hidden="false" customHeight="false" outlineLevel="0" collapsed="false">
      <c r="A26" s="16" t="s">
        <v>100</v>
      </c>
      <c r="B26" s="16" t="s">
        <v>101</v>
      </c>
      <c r="C26" s="5" t="s">
        <v>102</v>
      </c>
      <c r="D26" s="21" t="s">
        <v>805</v>
      </c>
      <c r="E26" s="16"/>
      <c r="F26" s="18" t="s">
        <v>89</v>
      </c>
      <c r="G26" s="18" t="s">
        <v>104</v>
      </c>
      <c r="H26" s="19" t="str">
        <f aca="false">Controlli_2!$L$46</f>
        <v>ok</v>
      </c>
      <c r="I26" s="0" t="n">
        <v>1</v>
      </c>
    </row>
    <row r="27" customFormat="false" ht="23.85" hidden="false" customHeight="false" outlineLevel="0" collapsed="false">
      <c r="A27" s="16" t="s">
        <v>105</v>
      </c>
      <c r="B27" s="16" t="s">
        <v>101</v>
      </c>
      <c r="C27" s="5" t="s">
        <v>106</v>
      </c>
      <c r="D27" s="17" t="str">
        <f aca="false">IFERROR(VLOOKUP(Scheda_2!$D$26,Elenchi!$J$2:$N$40,3,FALSE())&amp;"","")</f>
        <v>B</v>
      </c>
      <c r="E27" s="16"/>
      <c r="F27" s="18" t="s">
        <v>43</v>
      </c>
      <c r="G27" s="18" t="s">
        <v>107</v>
      </c>
      <c r="H27" s="19" t="str">
        <f aca="false">Controlli_2!$L$47</f>
        <v/>
      </c>
      <c r="I27" s="0" t="n">
        <v>1</v>
      </c>
    </row>
    <row r="28" customFormat="false" ht="15" hidden="false" customHeight="false" outlineLevel="0" collapsed="false">
      <c r="A28" s="16" t="s">
        <v>108</v>
      </c>
      <c r="B28" s="16" t="s">
        <v>101</v>
      </c>
      <c r="C28" s="5" t="s">
        <v>109</v>
      </c>
      <c r="D28" s="21" t="s">
        <v>806</v>
      </c>
      <c r="E28" s="16"/>
      <c r="F28" s="18" t="s">
        <v>110</v>
      </c>
      <c r="G28" s="18" t="s">
        <v>111</v>
      </c>
      <c r="H28" s="19" t="str">
        <f aca="false">Controlli_2!$L$48</f>
        <v/>
      </c>
      <c r="I28" s="0" t="n">
        <v>1</v>
      </c>
    </row>
    <row r="29" customFormat="false" ht="23.85" hidden="false" customHeight="false" outlineLevel="0" collapsed="false">
      <c r="A29" s="16" t="s">
        <v>112</v>
      </c>
      <c r="B29" s="16" t="s">
        <v>101</v>
      </c>
      <c r="C29" s="5" t="s">
        <v>113</v>
      </c>
      <c r="D29" s="17" t="str">
        <f aca="false">IF(Scheda_2!$D$28&lt;&gt;"",Scheda_2!$D$28,Scheda_2!$D$27)</f>
        <v>B</v>
      </c>
      <c r="E29" s="16"/>
      <c r="F29" s="18" t="s">
        <v>43</v>
      </c>
      <c r="G29" s="18" t="s">
        <v>114</v>
      </c>
      <c r="H29" s="19" t="str">
        <f aca="false">Controlli_2!$L$49</f>
        <v/>
      </c>
      <c r="I29" s="0" t="n">
        <v>1</v>
      </c>
    </row>
    <row r="30" customFormat="false" ht="15" hidden="false" customHeight="false" outlineLevel="0" collapsed="false">
      <c r="A30" s="16" t="s">
        <v>115</v>
      </c>
      <c r="B30" s="16" t="s">
        <v>101</v>
      </c>
      <c r="C30" s="5" t="s">
        <v>116</v>
      </c>
      <c r="D30" s="21" t="s">
        <v>117</v>
      </c>
      <c r="E30" s="16"/>
      <c r="F30" s="18" t="s">
        <v>89</v>
      </c>
      <c r="G30" s="18" t="s">
        <v>118</v>
      </c>
      <c r="H30" s="19" t="str">
        <f aca="false">Controlli_2!$L$50</f>
        <v>ok</v>
      </c>
      <c r="I30" s="0" t="n">
        <v>1</v>
      </c>
    </row>
    <row r="31" customFormat="false" ht="15" hidden="false" customHeight="false" outlineLevel="0" collapsed="false">
      <c r="A31" s="16" t="s">
        <v>119</v>
      </c>
      <c r="B31" s="16" t="s">
        <v>101</v>
      </c>
      <c r="C31" s="5" t="s">
        <v>120</v>
      </c>
      <c r="D31" s="21" t="s">
        <v>807</v>
      </c>
      <c r="E31" s="16"/>
      <c r="F31" s="18" t="s">
        <v>89</v>
      </c>
      <c r="G31" s="18" t="s">
        <v>122</v>
      </c>
      <c r="H31" s="19" t="str">
        <f aca="false">Controlli_2!$L$51</f>
        <v>ok</v>
      </c>
      <c r="I31" s="0" t="n">
        <v>1</v>
      </c>
    </row>
    <row r="32" customFormat="false" ht="15" hidden="false" customHeight="false" outlineLevel="0" collapsed="false">
      <c r="A32" s="16" t="s">
        <v>123</v>
      </c>
      <c r="B32" s="16" t="s">
        <v>101</v>
      </c>
      <c r="C32" s="5" t="s">
        <v>124</v>
      </c>
      <c r="D32" s="21" t="s">
        <v>125</v>
      </c>
      <c r="E32" s="16"/>
      <c r="F32" s="18" t="s">
        <v>89</v>
      </c>
      <c r="G32" s="18" t="s">
        <v>126</v>
      </c>
      <c r="H32" s="19" t="str">
        <f aca="false">Controlli_2!$L$52</f>
        <v>ok</v>
      </c>
      <c r="I32" s="0" t="n">
        <v>1</v>
      </c>
    </row>
    <row r="33" customFormat="false" ht="15" hidden="false" customHeight="false" outlineLevel="0" collapsed="false">
      <c r="A33" s="16" t="s">
        <v>127</v>
      </c>
      <c r="B33" s="16" t="s">
        <v>101</v>
      </c>
      <c r="C33" s="5" t="s">
        <v>128</v>
      </c>
      <c r="D33" s="21" t="s">
        <v>125</v>
      </c>
      <c r="E33" s="16"/>
      <c r="F33" s="18" t="s">
        <v>89</v>
      </c>
      <c r="G33" s="18" t="s">
        <v>126</v>
      </c>
      <c r="H33" s="19" t="str">
        <f aca="false">Controlli_2!$L$53</f>
        <v>ok</v>
      </c>
      <c r="I33" s="0" t="n">
        <v>1</v>
      </c>
    </row>
    <row r="34" customFormat="false" ht="15" hidden="false" customHeight="false" outlineLevel="0" collapsed="false">
      <c r="A34" s="16" t="s">
        <v>129</v>
      </c>
      <c r="B34" s="16" t="s">
        <v>101</v>
      </c>
      <c r="C34" s="5" t="s">
        <v>130</v>
      </c>
      <c r="D34" s="21" t="s">
        <v>125</v>
      </c>
      <c r="E34" s="16"/>
      <c r="F34" s="18" t="s">
        <v>89</v>
      </c>
      <c r="G34" s="18" t="s">
        <v>126</v>
      </c>
      <c r="H34" s="19" t="str">
        <f aca="false">Controlli_2!$L$54</f>
        <v>ok</v>
      </c>
      <c r="I34" s="0" t="n">
        <v>1</v>
      </c>
    </row>
    <row r="35" customFormat="false" ht="25.35" hidden="false" customHeight="false" outlineLevel="0" collapsed="false">
      <c r="A35" s="16" t="s">
        <v>131</v>
      </c>
      <c r="B35" s="16" t="s">
        <v>101</v>
      </c>
      <c r="C35" s="5" t="s">
        <v>132</v>
      </c>
      <c r="D35" s="21" t="s">
        <v>125</v>
      </c>
      <c r="E35" s="16"/>
      <c r="F35" s="18" t="s">
        <v>89</v>
      </c>
      <c r="G35" s="18" t="s">
        <v>133</v>
      </c>
      <c r="H35" s="19" t="str">
        <f aca="false">Controlli_2!$L$55</f>
        <v>ok</v>
      </c>
      <c r="I35" s="0" t="n">
        <v>1</v>
      </c>
    </row>
    <row r="36" customFormat="false" ht="23.85" hidden="false" customHeight="false" outlineLevel="0" collapsed="false">
      <c r="A36" s="16" t="s">
        <v>134</v>
      </c>
      <c r="B36" s="16" t="s">
        <v>101</v>
      </c>
      <c r="C36" s="5" t="s">
        <v>135</v>
      </c>
      <c r="D36" s="21"/>
      <c r="E36" s="16"/>
      <c r="F36" s="18" t="s">
        <v>136</v>
      </c>
      <c r="G36" s="18" t="s">
        <v>137</v>
      </c>
      <c r="H36" s="19" t="str">
        <f aca="false">Controlli_2!$L$56</f>
        <v/>
      </c>
      <c r="I36" s="0" t="n">
        <v>1</v>
      </c>
    </row>
    <row r="37" customFormat="false" ht="23.85" hidden="false" customHeight="false" outlineLevel="0" collapsed="false">
      <c r="A37" s="16" t="s">
        <v>138</v>
      </c>
      <c r="B37" s="16" t="s">
        <v>101</v>
      </c>
      <c r="C37" s="5" t="s">
        <v>139</v>
      </c>
      <c r="D37" s="21"/>
      <c r="E37" s="16" t="s">
        <v>140</v>
      </c>
      <c r="F37" s="18" t="s">
        <v>141</v>
      </c>
      <c r="G37" s="18" t="s">
        <v>142</v>
      </c>
      <c r="H37" s="19" t="str">
        <f aca="false">Controlli_2!$L$57</f>
        <v/>
      </c>
      <c r="I37" s="0" t="n">
        <v>1</v>
      </c>
    </row>
    <row r="38" customFormat="false" ht="25.35" hidden="false" customHeight="false" outlineLevel="0" collapsed="false">
      <c r="A38" s="16" t="s">
        <v>143</v>
      </c>
      <c r="B38" s="16" t="s">
        <v>101</v>
      </c>
      <c r="C38" s="5" t="s">
        <v>144</v>
      </c>
      <c r="D38" s="21" t="s">
        <v>125</v>
      </c>
      <c r="E38" s="16"/>
      <c r="F38" s="18" t="s">
        <v>89</v>
      </c>
      <c r="G38" s="18" t="s">
        <v>145</v>
      </c>
      <c r="H38" s="19" t="str">
        <f aca="false">Controlli_2!$L$58</f>
        <v>ok</v>
      </c>
      <c r="I38" s="0" t="n">
        <v>1</v>
      </c>
    </row>
    <row r="39" customFormat="false" ht="25.35" hidden="false" customHeight="false" outlineLevel="0" collapsed="false">
      <c r="A39" s="16" t="s">
        <v>146</v>
      </c>
      <c r="B39" s="16" t="s">
        <v>101</v>
      </c>
      <c r="C39" s="5" t="s">
        <v>147</v>
      </c>
      <c r="D39" s="22"/>
      <c r="E39" s="16"/>
      <c r="F39" s="18" t="s">
        <v>148</v>
      </c>
      <c r="G39" s="18" t="s">
        <v>149</v>
      </c>
      <c r="H39" s="19" t="str">
        <f aca="false">Controlli_2!$L$59</f>
        <v/>
      </c>
      <c r="I39" s="0" t="n">
        <v>1</v>
      </c>
    </row>
    <row r="40" customFormat="false" ht="25.35" hidden="false" customHeight="false" outlineLevel="0" collapsed="false">
      <c r="A40" s="16" t="s">
        <v>150</v>
      </c>
      <c r="B40" s="16" t="s">
        <v>101</v>
      </c>
      <c r="C40" s="5" t="s">
        <v>151</v>
      </c>
      <c r="D40" s="21"/>
      <c r="E40" s="16"/>
      <c r="F40" s="18" t="s">
        <v>148</v>
      </c>
      <c r="G40" s="18" t="s">
        <v>152</v>
      </c>
      <c r="H40" s="19" t="str">
        <f aca="false">Controlli_2!$L$60</f>
        <v/>
      </c>
      <c r="I40" s="0" t="n">
        <v>1</v>
      </c>
    </row>
    <row r="41" customFormat="false" ht="25.35" hidden="false" customHeight="false" outlineLevel="0" collapsed="false">
      <c r="A41" s="16" t="s">
        <v>153</v>
      </c>
      <c r="B41" s="16" t="s">
        <v>101</v>
      </c>
      <c r="C41" s="5" t="s">
        <v>154</v>
      </c>
      <c r="D41" s="21"/>
      <c r="E41" s="16"/>
      <c r="F41" s="18" t="s">
        <v>148</v>
      </c>
      <c r="G41" s="18" t="s">
        <v>152</v>
      </c>
      <c r="H41" s="19" t="str">
        <f aca="false">Controlli_2!$L$61</f>
        <v/>
      </c>
      <c r="I41" s="0" t="n">
        <v>1</v>
      </c>
    </row>
    <row r="42" customFormat="false" ht="15" hidden="false" customHeight="false" outlineLevel="0" collapsed="false">
      <c r="A42" s="16" t="s">
        <v>155</v>
      </c>
      <c r="B42" s="16" t="s">
        <v>101</v>
      </c>
      <c r="C42" s="5" t="s">
        <v>156</v>
      </c>
      <c r="D42" s="21" t="s">
        <v>808</v>
      </c>
      <c r="E42" s="16"/>
      <c r="F42" s="18" t="s">
        <v>84</v>
      </c>
      <c r="G42" s="18" t="s">
        <v>158</v>
      </c>
      <c r="H42" s="19" t="str">
        <f aca="false">Controlli_2!$L$62</f>
        <v>ok</v>
      </c>
      <c r="I42" s="0" t="n">
        <v>1</v>
      </c>
    </row>
    <row r="43" customFormat="false" ht="23.85" hidden="false" customHeight="false" outlineLevel="0" collapsed="false">
      <c r="A43" s="16" t="s">
        <v>159</v>
      </c>
      <c r="B43" s="16" t="s">
        <v>101</v>
      </c>
      <c r="C43" s="5" t="s">
        <v>160</v>
      </c>
      <c r="D43" s="21"/>
      <c r="E43" s="16"/>
      <c r="F43" s="18" t="s">
        <v>161</v>
      </c>
      <c r="G43" s="18" t="s">
        <v>162</v>
      </c>
      <c r="H43" s="19" t="str">
        <f aca="false">Controlli_2!$L$63</f>
        <v>MANCANTE</v>
      </c>
      <c r="I43" s="0" t="n">
        <v>1</v>
      </c>
    </row>
    <row r="44" customFormat="false" ht="19.5" hidden="false" customHeight="true" outlineLevel="0" collapsed="false">
      <c r="A44" s="14" t="s">
        <v>163</v>
      </c>
      <c r="B44" s="14"/>
      <c r="C44" s="14"/>
      <c r="D44" s="14"/>
      <c r="E44" s="14"/>
      <c r="F44" s="14"/>
      <c r="G44" s="14"/>
      <c r="H44" s="14"/>
    </row>
    <row r="45" customFormat="false" ht="15" hidden="false" customHeight="false" outlineLevel="0" collapsed="false">
      <c r="A45" s="15" t="s">
        <v>164</v>
      </c>
      <c r="B45" s="15"/>
      <c r="C45" s="15"/>
      <c r="D45" s="15"/>
      <c r="E45" s="15"/>
      <c r="F45" s="15"/>
      <c r="G45" s="15"/>
      <c r="H45" s="15"/>
    </row>
    <row r="46" customFormat="false" ht="15" hidden="false" customHeight="false" outlineLevel="0" collapsed="false">
      <c r="A46" s="16" t="s">
        <v>165</v>
      </c>
      <c r="B46" s="16" t="s">
        <v>166</v>
      </c>
      <c r="C46" s="5" t="s">
        <v>167</v>
      </c>
      <c r="D46" s="21" t="s">
        <v>809</v>
      </c>
      <c r="E46" s="16"/>
      <c r="F46" s="18" t="s">
        <v>89</v>
      </c>
      <c r="G46" s="18" t="s">
        <v>169</v>
      </c>
      <c r="H46" s="19" t="str">
        <f aca="false">Controlli_2!$L$64</f>
        <v>ok</v>
      </c>
      <c r="I46" s="0" t="n">
        <v>1</v>
      </c>
    </row>
    <row r="47" customFormat="false" ht="15" hidden="false" customHeight="false" outlineLevel="0" collapsed="false">
      <c r="A47" s="16" t="s">
        <v>170</v>
      </c>
      <c r="B47" s="16" t="s">
        <v>166</v>
      </c>
      <c r="C47" s="5" t="s">
        <v>171</v>
      </c>
      <c r="D47" s="21" t="s">
        <v>168</v>
      </c>
      <c r="E47" s="16"/>
      <c r="F47" s="18" t="s">
        <v>89</v>
      </c>
      <c r="G47" s="18" t="s">
        <v>172</v>
      </c>
      <c r="H47" s="19" t="str">
        <f aca="false">Controlli_2!$L$65</f>
        <v>ok</v>
      </c>
      <c r="I47" s="0" t="n">
        <v>1</v>
      </c>
    </row>
    <row r="48" customFormat="false" ht="23.85" hidden="false" customHeight="false" outlineLevel="0" collapsed="false">
      <c r="A48" s="16" t="s">
        <v>173</v>
      </c>
      <c r="B48" s="16" t="s">
        <v>166</v>
      </c>
      <c r="C48" s="5" t="s">
        <v>174</v>
      </c>
      <c r="D48" s="21" t="s">
        <v>810</v>
      </c>
      <c r="E48" s="16"/>
      <c r="F48" s="18" t="s">
        <v>175</v>
      </c>
      <c r="G48" s="18" t="s">
        <v>176</v>
      </c>
      <c r="H48" s="19" t="str">
        <f aca="false">Controlli_2!$L$66</f>
        <v>NON NOTO</v>
      </c>
      <c r="I48" s="0" t="n">
        <v>1</v>
      </c>
    </row>
    <row r="49" customFormat="false" ht="23.85" hidden="false" customHeight="false" outlineLevel="0" collapsed="false">
      <c r="A49" s="16" t="s">
        <v>177</v>
      </c>
      <c r="B49" s="16" t="s">
        <v>166</v>
      </c>
      <c r="C49" s="5" t="s">
        <v>178</v>
      </c>
      <c r="D49" s="21"/>
      <c r="E49" s="16"/>
      <c r="F49" s="18" t="s">
        <v>179</v>
      </c>
      <c r="G49" s="18" t="s">
        <v>180</v>
      </c>
      <c r="H49" s="19" t="str">
        <f aca="false">Controlli_2!$L$67</f>
        <v/>
      </c>
      <c r="I49" s="0" t="n">
        <v>1</v>
      </c>
    </row>
    <row r="50" customFormat="false" ht="23.85" hidden="false" customHeight="false" outlineLevel="0" collapsed="false">
      <c r="A50" s="16" t="s">
        <v>181</v>
      </c>
      <c r="B50" s="16" t="s">
        <v>166</v>
      </c>
      <c r="C50" s="5" t="s">
        <v>182</v>
      </c>
      <c r="D50" s="21"/>
      <c r="E50" s="16" t="s">
        <v>140</v>
      </c>
      <c r="F50" s="18" t="s">
        <v>179</v>
      </c>
      <c r="G50" s="18" t="s">
        <v>180</v>
      </c>
      <c r="H50" s="19" t="str">
        <f aca="false">Controlli_2!$L$68</f>
        <v/>
      </c>
      <c r="I50" s="0" t="n">
        <v>1</v>
      </c>
    </row>
    <row r="51" customFormat="false" ht="25.35" hidden="false" customHeight="false" outlineLevel="0" collapsed="false">
      <c r="A51" s="16" t="s">
        <v>183</v>
      </c>
      <c r="B51" s="16" t="s">
        <v>166</v>
      </c>
      <c r="C51" s="5" t="s">
        <v>184</v>
      </c>
      <c r="D51" s="21"/>
      <c r="E51" s="16"/>
      <c r="F51" s="18" t="s">
        <v>179</v>
      </c>
      <c r="G51" s="18" t="s">
        <v>185</v>
      </c>
      <c r="H51" s="19" t="str">
        <f aca="false">Controlli_2!$L$69</f>
        <v/>
      </c>
      <c r="I51" s="0" t="n">
        <v>1</v>
      </c>
    </row>
    <row r="52" customFormat="false" ht="15" hidden="false" customHeight="false" outlineLevel="0" collapsed="false">
      <c r="A52" s="16" t="s">
        <v>186</v>
      </c>
      <c r="B52" s="16" t="s">
        <v>166</v>
      </c>
      <c r="C52" s="5" t="s">
        <v>187</v>
      </c>
      <c r="D52" s="21" t="s">
        <v>125</v>
      </c>
      <c r="E52" s="16"/>
      <c r="F52" s="18" t="s">
        <v>84</v>
      </c>
      <c r="G52" s="18" t="s">
        <v>188</v>
      </c>
      <c r="H52" s="19" t="str">
        <f aca="false">Controlli_2!$L$70</f>
        <v>ok</v>
      </c>
      <c r="I52" s="0" t="n">
        <v>1</v>
      </c>
    </row>
    <row r="53" customFormat="false" ht="23.85" hidden="false" customHeight="false" outlineLevel="0" collapsed="false">
      <c r="A53" s="16" t="s">
        <v>189</v>
      </c>
      <c r="B53" s="16" t="s">
        <v>166</v>
      </c>
      <c r="C53" s="5" t="s">
        <v>190</v>
      </c>
      <c r="D53" s="21"/>
      <c r="E53" s="16"/>
      <c r="F53" s="18" t="s">
        <v>191</v>
      </c>
      <c r="G53" s="18" t="s">
        <v>192</v>
      </c>
      <c r="H53" s="19" t="str">
        <f aca="false">Controlli_2!$L$71</f>
        <v/>
      </c>
      <c r="I53" s="0" t="n">
        <v>1</v>
      </c>
    </row>
    <row r="54" customFormat="false" ht="19.5" hidden="false" customHeight="true" outlineLevel="0" collapsed="false">
      <c r="A54" s="14" t="s">
        <v>193</v>
      </c>
      <c r="B54" s="14"/>
      <c r="C54" s="14"/>
      <c r="D54" s="14"/>
      <c r="E54" s="14"/>
      <c r="F54" s="14"/>
      <c r="G54" s="14"/>
      <c r="H54" s="14"/>
    </row>
    <row r="55" customFormat="false" ht="25.35" hidden="false" customHeight="false" outlineLevel="0" collapsed="false">
      <c r="A55" s="16" t="s">
        <v>194</v>
      </c>
      <c r="B55" s="16" t="s">
        <v>195</v>
      </c>
      <c r="C55" s="5" t="s">
        <v>196</v>
      </c>
      <c r="D55" s="21" t="s">
        <v>811</v>
      </c>
      <c r="E55" s="16"/>
      <c r="F55" s="18" t="s">
        <v>198</v>
      </c>
      <c r="G55" s="18" t="s">
        <v>199</v>
      </c>
      <c r="H55" s="19" t="str">
        <f aca="false">Controlli_2!$L$72</f>
        <v>ok</v>
      </c>
      <c r="I55" s="0" t="n">
        <v>1</v>
      </c>
    </row>
    <row r="56" customFormat="false" ht="23.85" hidden="false" customHeight="false" outlineLevel="0" collapsed="false">
      <c r="A56" s="16" t="s">
        <v>200</v>
      </c>
      <c r="B56" s="16" t="s">
        <v>195</v>
      </c>
      <c r="C56" s="5" t="s">
        <v>201</v>
      </c>
      <c r="D56" s="22"/>
      <c r="E56" s="16"/>
      <c r="F56" s="18" t="s">
        <v>202</v>
      </c>
      <c r="G56" s="18" t="s">
        <v>203</v>
      </c>
      <c r="H56" s="19" t="str">
        <f aca="false">Controlli_2!$L$73</f>
        <v/>
      </c>
      <c r="I56" s="0" t="n">
        <v>1</v>
      </c>
    </row>
    <row r="57" customFormat="false" ht="15" hidden="false" customHeight="false" outlineLevel="0" collapsed="false">
      <c r="A57" s="16" t="s">
        <v>204</v>
      </c>
      <c r="B57" s="16" t="s">
        <v>195</v>
      </c>
      <c r="C57" s="5" t="s">
        <v>205</v>
      </c>
      <c r="D57" s="21" t="s">
        <v>812</v>
      </c>
      <c r="E57" s="16"/>
      <c r="F57" s="18" t="s">
        <v>89</v>
      </c>
      <c r="G57" s="18" t="s">
        <v>207</v>
      </c>
      <c r="H57" s="19" t="str">
        <f aca="false">Controlli_2!$L$74</f>
        <v>ok</v>
      </c>
      <c r="I57" s="0" t="n">
        <v>1</v>
      </c>
    </row>
    <row r="58" customFormat="false" ht="15" hidden="false" customHeight="false" outlineLevel="0" collapsed="false">
      <c r="A58" s="16" t="s">
        <v>208</v>
      </c>
      <c r="B58" s="16" t="s">
        <v>195</v>
      </c>
      <c r="C58" s="5" t="s">
        <v>209</v>
      </c>
      <c r="D58" s="21" t="s">
        <v>125</v>
      </c>
      <c r="E58" s="16"/>
      <c r="F58" s="18" t="s">
        <v>198</v>
      </c>
      <c r="G58" s="18" t="s">
        <v>210</v>
      </c>
      <c r="H58" s="19" t="str">
        <f aca="false">Controlli_2!$L$75</f>
        <v>ok</v>
      </c>
      <c r="I58" s="0" t="n">
        <v>1</v>
      </c>
    </row>
    <row r="59" customFormat="false" ht="15" hidden="false" customHeight="false" outlineLevel="0" collapsed="false">
      <c r="A59" s="16" t="s">
        <v>211</v>
      </c>
      <c r="B59" s="16" t="s">
        <v>195</v>
      </c>
      <c r="C59" s="5" t="s">
        <v>212</v>
      </c>
      <c r="D59" s="21" t="s">
        <v>813</v>
      </c>
      <c r="E59" s="16"/>
      <c r="F59" s="18" t="s">
        <v>84</v>
      </c>
      <c r="G59" s="18" t="s">
        <v>214</v>
      </c>
      <c r="H59" s="19" t="str">
        <f aca="false">Controlli_2!$L$76</f>
        <v>ok</v>
      </c>
      <c r="I59" s="0" t="n">
        <v>1</v>
      </c>
    </row>
    <row r="60" customFormat="false" ht="15" hidden="false" customHeight="false" outlineLevel="0" collapsed="false">
      <c r="A60" s="16" t="s">
        <v>215</v>
      </c>
      <c r="B60" s="16" t="s">
        <v>195</v>
      </c>
      <c r="C60" s="5" t="s">
        <v>216</v>
      </c>
      <c r="D60" s="21" t="s">
        <v>379</v>
      </c>
      <c r="E60" s="16"/>
      <c r="F60" s="18" t="s">
        <v>75</v>
      </c>
      <c r="G60" s="18" t="s">
        <v>217</v>
      </c>
      <c r="H60" s="19" t="str">
        <f aca="false">Controlli_2!$L$77</f>
        <v>ok</v>
      </c>
      <c r="I60" s="0" t="n">
        <v>1</v>
      </c>
    </row>
    <row r="61" customFormat="false" ht="15" hidden="false" customHeight="false" outlineLevel="0" collapsed="false">
      <c r="A61" s="16" t="s">
        <v>218</v>
      </c>
      <c r="B61" s="16" t="s">
        <v>195</v>
      </c>
      <c r="C61" s="5" t="s">
        <v>219</v>
      </c>
      <c r="D61" s="21" t="s">
        <v>814</v>
      </c>
      <c r="E61" s="16"/>
      <c r="F61" s="18" t="s">
        <v>220</v>
      </c>
      <c r="G61" s="18" t="s">
        <v>221</v>
      </c>
      <c r="H61" s="19" t="str">
        <f aca="false">Controlli_2!$L$78</f>
        <v>ok</v>
      </c>
      <c r="I61" s="0" t="n">
        <v>1</v>
      </c>
    </row>
    <row r="62" customFormat="false" ht="15" hidden="false" customHeight="false" outlineLevel="0" collapsed="false">
      <c r="A62" s="16" t="s">
        <v>222</v>
      </c>
      <c r="B62" s="16" t="s">
        <v>195</v>
      </c>
      <c r="C62" s="5" t="s">
        <v>223</v>
      </c>
      <c r="D62" s="22"/>
      <c r="E62" s="16"/>
      <c r="F62" s="18" t="s">
        <v>148</v>
      </c>
      <c r="G62" s="18" t="s">
        <v>224</v>
      </c>
      <c r="H62" s="19" t="str">
        <f aca="false">Controlli_2!$L$79</f>
        <v/>
      </c>
      <c r="I62" s="0" t="n">
        <v>1</v>
      </c>
    </row>
    <row r="63" customFormat="false" ht="15" hidden="false" customHeight="false" outlineLevel="0" collapsed="false">
      <c r="A63" s="16" t="s">
        <v>225</v>
      </c>
      <c r="B63" s="16" t="s">
        <v>195</v>
      </c>
      <c r="C63" s="5" t="s">
        <v>226</v>
      </c>
      <c r="D63" s="22"/>
      <c r="E63" s="16"/>
      <c r="F63" s="18" t="s">
        <v>227</v>
      </c>
      <c r="G63" s="18" t="s">
        <v>228</v>
      </c>
      <c r="H63" s="19" t="str">
        <f aca="false">Controlli_2!$L$80</f>
        <v/>
      </c>
      <c r="I63" s="0" t="n">
        <v>1</v>
      </c>
    </row>
    <row r="64" customFormat="false" ht="15" hidden="false" customHeight="false" outlineLevel="0" collapsed="false">
      <c r="A64" s="16" t="s">
        <v>229</v>
      </c>
      <c r="B64" s="16" t="s">
        <v>195</v>
      </c>
      <c r="C64" s="5" t="s">
        <v>230</v>
      </c>
      <c r="D64" s="21"/>
      <c r="E64" s="16"/>
      <c r="F64" s="18" t="s">
        <v>148</v>
      </c>
      <c r="G64" s="18" t="s">
        <v>231</v>
      </c>
      <c r="H64" s="19" t="str">
        <f aca="false">Controlli_2!$L$81</f>
        <v/>
      </c>
      <c r="I64" s="0" t="n">
        <v>1</v>
      </c>
    </row>
    <row r="65" customFormat="false" ht="15" hidden="false" customHeight="false" outlineLevel="0" collapsed="false">
      <c r="A65" s="16" t="s">
        <v>232</v>
      </c>
      <c r="B65" s="16" t="s">
        <v>195</v>
      </c>
      <c r="C65" s="5" t="s">
        <v>233</v>
      </c>
      <c r="D65" s="21"/>
      <c r="E65" s="16" t="s">
        <v>234</v>
      </c>
      <c r="F65" s="18" t="s">
        <v>235</v>
      </c>
      <c r="G65" s="18" t="s">
        <v>236</v>
      </c>
      <c r="H65" s="19" t="str">
        <f aca="false">Controlli_2!$L$82</f>
        <v/>
      </c>
      <c r="I65" s="0" t="n">
        <v>1</v>
      </c>
    </row>
    <row r="66" customFormat="false" ht="15" hidden="false" customHeight="false" outlineLevel="0" collapsed="false">
      <c r="A66" s="16" t="s">
        <v>237</v>
      </c>
      <c r="B66" s="16" t="s">
        <v>195</v>
      </c>
      <c r="C66" s="5" t="s">
        <v>238</v>
      </c>
      <c r="D66" s="21"/>
      <c r="E66" s="16" t="s">
        <v>239</v>
      </c>
      <c r="F66" s="18" t="s">
        <v>235</v>
      </c>
      <c r="G66" s="18" t="s">
        <v>240</v>
      </c>
      <c r="H66" s="19" t="str">
        <f aca="false">Controlli_2!$L$83</f>
        <v/>
      </c>
      <c r="I66" s="0" t="n">
        <v>1</v>
      </c>
    </row>
    <row r="67" customFormat="false" ht="15" hidden="false" customHeight="false" outlineLevel="0" collapsed="false">
      <c r="A67" s="16" t="s">
        <v>241</v>
      </c>
      <c r="B67" s="16" t="s">
        <v>195</v>
      </c>
      <c r="C67" s="5" t="s">
        <v>242</v>
      </c>
      <c r="D67" s="21"/>
      <c r="E67" s="16" t="s">
        <v>239</v>
      </c>
      <c r="F67" s="18" t="s">
        <v>235</v>
      </c>
      <c r="G67" s="18" t="s">
        <v>240</v>
      </c>
      <c r="H67" s="19" t="str">
        <f aca="false">Controlli_2!$L$84</f>
        <v/>
      </c>
      <c r="I67" s="0" t="n">
        <v>1</v>
      </c>
    </row>
    <row r="68" customFormat="false" ht="15" hidden="false" customHeight="false" outlineLevel="0" collapsed="false">
      <c r="A68" s="16" t="s">
        <v>243</v>
      </c>
      <c r="B68" s="16" t="s">
        <v>195</v>
      </c>
      <c r="C68" s="5" t="s">
        <v>244</v>
      </c>
      <c r="D68" s="21"/>
      <c r="E68" s="16" t="s">
        <v>234</v>
      </c>
      <c r="F68" s="18" t="s">
        <v>235</v>
      </c>
      <c r="G68" s="18" t="s">
        <v>245</v>
      </c>
      <c r="H68" s="19" t="str">
        <f aca="false">Controlli_2!$L$85</f>
        <v/>
      </c>
      <c r="I68" s="0" t="n">
        <v>1</v>
      </c>
    </row>
    <row r="69" customFormat="false" ht="15" hidden="false" customHeight="false" outlineLevel="0" collapsed="false">
      <c r="A69" s="16" t="s">
        <v>246</v>
      </c>
      <c r="B69" s="16" t="s">
        <v>195</v>
      </c>
      <c r="C69" s="5" t="s">
        <v>247</v>
      </c>
      <c r="D69" s="21"/>
      <c r="E69" s="16" t="s">
        <v>234</v>
      </c>
      <c r="F69" s="18" t="s">
        <v>235</v>
      </c>
      <c r="G69" s="18" t="s">
        <v>245</v>
      </c>
      <c r="H69" s="19" t="str">
        <f aca="false">Controlli_2!$L$86</f>
        <v/>
      </c>
      <c r="I69" s="0" t="n">
        <v>1</v>
      </c>
    </row>
    <row r="70" customFormat="false" ht="15" hidden="false" customHeight="false" outlineLevel="0" collapsed="false">
      <c r="A70" s="16" t="s">
        <v>248</v>
      </c>
      <c r="B70" s="16" t="s">
        <v>195</v>
      </c>
      <c r="C70" s="5" t="s">
        <v>249</v>
      </c>
      <c r="D70" s="21"/>
      <c r="E70" s="16" t="s">
        <v>140</v>
      </c>
      <c r="F70" s="18" t="s">
        <v>235</v>
      </c>
      <c r="G70" s="18" t="s">
        <v>245</v>
      </c>
      <c r="H70" s="19" t="str">
        <f aca="false">Controlli_2!$L$87</f>
        <v/>
      </c>
      <c r="I70" s="0" t="n">
        <v>1</v>
      </c>
    </row>
    <row r="71" customFormat="false" ht="15" hidden="false" customHeight="false" outlineLevel="0" collapsed="false">
      <c r="A71" s="16" t="s">
        <v>250</v>
      </c>
      <c r="B71" s="16" t="s">
        <v>195</v>
      </c>
      <c r="C71" s="5" t="s">
        <v>251</v>
      </c>
      <c r="D71" s="21"/>
      <c r="E71" s="16" t="s">
        <v>140</v>
      </c>
      <c r="F71" s="18" t="s">
        <v>235</v>
      </c>
      <c r="G71" s="18" t="s">
        <v>245</v>
      </c>
      <c r="H71" s="19" t="str">
        <f aca="false">Controlli_2!$L$88</f>
        <v/>
      </c>
      <c r="I71" s="0" t="n">
        <v>1</v>
      </c>
    </row>
    <row r="72" customFormat="false" ht="15" hidden="false" customHeight="false" outlineLevel="0" collapsed="false">
      <c r="A72" s="16" t="s">
        <v>252</v>
      </c>
      <c r="B72" s="16" t="s">
        <v>195</v>
      </c>
      <c r="C72" s="5" t="s">
        <v>253</v>
      </c>
      <c r="D72" s="21"/>
      <c r="E72" s="16" t="s">
        <v>140</v>
      </c>
      <c r="F72" s="18" t="s">
        <v>235</v>
      </c>
      <c r="G72" s="18" t="s">
        <v>245</v>
      </c>
      <c r="H72" s="19" t="str">
        <f aca="false">Controlli_2!$L$89</f>
        <v/>
      </c>
      <c r="I72" s="0" t="n">
        <v>1</v>
      </c>
    </row>
    <row r="73" customFormat="false" ht="15" hidden="false" customHeight="false" outlineLevel="0" collapsed="false">
      <c r="A73" s="16" t="s">
        <v>254</v>
      </c>
      <c r="B73" s="16" t="s">
        <v>195</v>
      </c>
      <c r="C73" s="5" t="s">
        <v>255</v>
      </c>
      <c r="D73" s="21"/>
      <c r="E73" s="16" t="s">
        <v>140</v>
      </c>
      <c r="F73" s="18" t="s">
        <v>235</v>
      </c>
      <c r="G73" s="18" t="s">
        <v>245</v>
      </c>
      <c r="H73" s="19" t="str">
        <f aca="false">Controlli_2!$L$90</f>
        <v/>
      </c>
      <c r="I73" s="0" t="n">
        <v>1</v>
      </c>
    </row>
    <row r="74" customFormat="false" ht="25.35" hidden="false" customHeight="false" outlineLevel="0" collapsed="false">
      <c r="A74" s="16" t="s">
        <v>256</v>
      </c>
      <c r="B74" s="16" t="s">
        <v>195</v>
      </c>
      <c r="C74" s="5" t="s">
        <v>257</v>
      </c>
      <c r="D74" s="21"/>
      <c r="E74" s="16"/>
      <c r="F74" s="18" t="s">
        <v>258</v>
      </c>
      <c r="G74" s="18" t="s">
        <v>259</v>
      </c>
      <c r="H74" s="19" t="str">
        <f aca="false">Controlli_2!$L$91</f>
        <v/>
      </c>
      <c r="I74" s="0" t="n">
        <v>1</v>
      </c>
    </row>
    <row r="75" customFormat="false" ht="23.85" hidden="false" customHeight="false" outlineLevel="0" collapsed="false">
      <c r="A75" s="16" t="s">
        <v>260</v>
      </c>
      <c r="B75" s="16" t="s">
        <v>195</v>
      </c>
      <c r="C75" s="5" t="s">
        <v>261</v>
      </c>
      <c r="D75" s="21"/>
      <c r="E75" s="16"/>
      <c r="F75" s="18" t="s">
        <v>262</v>
      </c>
      <c r="G75" s="18" t="s">
        <v>263</v>
      </c>
      <c r="H75" s="19" t="str">
        <f aca="false">Controlli_2!$L$92</f>
        <v/>
      </c>
      <c r="I75" s="0" t="n">
        <v>1</v>
      </c>
    </row>
    <row r="76" customFormat="false" ht="23.85" hidden="false" customHeight="false" outlineLevel="0" collapsed="false">
      <c r="A76" s="16" t="s">
        <v>264</v>
      </c>
      <c r="B76" s="16" t="s">
        <v>195</v>
      </c>
      <c r="C76" s="5" t="s">
        <v>265</v>
      </c>
      <c r="D76" s="21"/>
      <c r="E76" s="16"/>
      <c r="F76" s="18" t="s">
        <v>266</v>
      </c>
      <c r="G76" s="18" t="s">
        <v>267</v>
      </c>
      <c r="H76" s="19" t="str">
        <f aca="false">Controlli_2!$L$93</f>
        <v/>
      </c>
      <c r="I76" s="0" t="n">
        <v>1</v>
      </c>
    </row>
    <row r="77" customFormat="false" ht="19.5" hidden="false" customHeight="true" outlineLevel="0" collapsed="false">
      <c r="A77" s="14" t="s">
        <v>268</v>
      </c>
      <c r="B77" s="14"/>
      <c r="C77" s="14"/>
      <c r="D77" s="14"/>
      <c r="E77" s="14"/>
      <c r="F77" s="14"/>
      <c r="G77" s="14"/>
      <c r="H77" s="14"/>
    </row>
    <row r="78" customFormat="false" ht="15" hidden="false" customHeight="false" outlineLevel="0" collapsed="false">
      <c r="A78" s="15" t="s">
        <v>269</v>
      </c>
      <c r="B78" s="15"/>
      <c r="C78" s="15"/>
      <c r="D78" s="15"/>
      <c r="E78" s="15"/>
      <c r="F78" s="15"/>
      <c r="G78" s="15"/>
      <c r="H78" s="15"/>
    </row>
    <row r="79" customFormat="false" ht="23.85" hidden="false" customHeight="false" outlineLevel="0" collapsed="false">
      <c r="A79" s="16" t="s">
        <v>270</v>
      </c>
      <c r="B79" s="16" t="s">
        <v>271</v>
      </c>
      <c r="C79" s="5" t="s">
        <v>272</v>
      </c>
      <c r="D79" s="21"/>
      <c r="E79" s="16" t="s">
        <v>234</v>
      </c>
      <c r="F79" s="18" t="s">
        <v>179</v>
      </c>
      <c r="G79" s="18" t="s">
        <v>273</v>
      </c>
      <c r="H79" s="19" t="str">
        <f aca="false">Controlli_2!$L$94</f>
        <v/>
      </c>
      <c r="I79" s="0" t="n">
        <v>1</v>
      </c>
    </row>
    <row r="80" customFormat="false" ht="23.85" hidden="false" customHeight="false" outlineLevel="0" collapsed="false">
      <c r="A80" s="16" t="s">
        <v>274</v>
      </c>
      <c r="B80" s="16" t="s">
        <v>271</v>
      </c>
      <c r="C80" s="5" t="s">
        <v>275</v>
      </c>
      <c r="D80" s="21"/>
      <c r="E80" s="16" t="s">
        <v>234</v>
      </c>
      <c r="F80" s="18" t="s">
        <v>179</v>
      </c>
      <c r="G80" s="18" t="s">
        <v>276</v>
      </c>
      <c r="H80" s="19" t="str">
        <f aca="false">Controlli_2!$L$95</f>
        <v/>
      </c>
      <c r="I80" s="0" t="n">
        <v>1</v>
      </c>
    </row>
    <row r="81" customFormat="false" ht="23.85" hidden="false" customHeight="false" outlineLevel="0" collapsed="false">
      <c r="A81" s="16" t="s">
        <v>277</v>
      </c>
      <c r="B81" s="16" t="s">
        <v>271</v>
      </c>
      <c r="C81" s="5" t="s">
        <v>278</v>
      </c>
      <c r="D81" s="21"/>
      <c r="E81" s="16" t="s">
        <v>234</v>
      </c>
      <c r="F81" s="18" t="s">
        <v>179</v>
      </c>
      <c r="G81" s="18" t="s">
        <v>276</v>
      </c>
      <c r="H81" s="19" t="str">
        <f aca="false">Controlli_2!$L$96</f>
        <v/>
      </c>
      <c r="I81" s="0" t="n">
        <v>1</v>
      </c>
    </row>
    <row r="82" customFormat="false" ht="23.85" hidden="false" customHeight="false" outlineLevel="0" collapsed="false">
      <c r="A82" s="16" t="s">
        <v>279</v>
      </c>
      <c r="B82" s="16" t="s">
        <v>271</v>
      </c>
      <c r="C82" s="5" t="s">
        <v>280</v>
      </c>
      <c r="D82" s="21"/>
      <c r="E82" s="16" t="s">
        <v>234</v>
      </c>
      <c r="F82" s="18" t="s">
        <v>179</v>
      </c>
      <c r="G82" s="18" t="s">
        <v>276</v>
      </c>
      <c r="H82" s="19" t="str">
        <f aca="false">Controlli_2!$L$97</f>
        <v/>
      </c>
      <c r="I82" s="0" t="n">
        <v>1</v>
      </c>
    </row>
    <row r="83" customFormat="false" ht="23.85" hidden="false" customHeight="false" outlineLevel="0" collapsed="false">
      <c r="A83" s="16" t="s">
        <v>281</v>
      </c>
      <c r="B83" s="16" t="s">
        <v>271</v>
      </c>
      <c r="C83" s="5" t="s">
        <v>282</v>
      </c>
      <c r="D83" s="21"/>
      <c r="E83" s="16" t="s">
        <v>234</v>
      </c>
      <c r="F83" s="18" t="s">
        <v>179</v>
      </c>
      <c r="G83" s="18" t="s">
        <v>276</v>
      </c>
      <c r="H83" s="19" t="str">
        <f aca="false">Controlli_2!$L$98</f>
        <v/>
      </c>
      <c r="I83" s="0" t="n">
        <v>1</v>
      </c>
    </row>
    <row r="84" customFormat="false" ht="23.85" hidden="false" customHeight="false" outlineLevel="0" collapsed="false">
      <c r="A84" s="16" t="s">
        <v>283</v>
      </c>
      <c r="B84" s="16" t="s">
        <v>271</v>
      </c>
      <c r="C84" s="5" t="s">
        <v>284</v>
      </c>
      <c r="D84" s="21"/>
      <c r="E84" s="16" t="s">
        <v>239</v>
      </c>
      <c r="F84" s="18" t="s">
        <v>179</v>
      </c>
      <c r="G84" s="18" t="s">
        <v>276</v>
      </c>
      <c r="H84" s="19" t="str">
        <f aca="false">Controlli_2!$L$99</f>
        <v/>
      </c>
      <c r="I84" s="0" t="n">
        <v>1</v>
      </c>
    </row>
    <row r="85" customFormat="false" ht="23.85" hidden="false" customHeight="false" outlineLevel="0" collapsed="false">
      <c r="A85" s="16" t="s">
        <v>285</v>
      </c>
      <c r="B85" s="16" t="s">
        <v>271</v>
      </c>
      <c r="C85" s="5" t="s">
        <v>286</v>
      </c>
      <c r="D85" s="21"/>
      <c r="E85" s="16" t="s">
        <v>239</v>
      </c>
      <c r="F85" s="18" t="s">
        <v>179</v>
      </c>
      <c r="G85" s="18" t="s">
        <v>276</v>
      </c>
      <c r="H85" s="19" t="str">
        <f aca="false">Controlli_2!$L$100</f>
        <v/>
      </c>
      <c r="I85" s="0" t="n">
        <v>1</v>
      </c>
    </row>
    <row r="86" customFormat="false" ht="23.85" hidden="false" customHeight="false" outlineLevel="0" collapsed="false">
      <c r="A86" s="16" t="s">
        <v>287</v>
      </c>
      <c r="B86" s="16" t="s">
        <v>271</v>
      </c>
      <c r="C86" s="5" t="s">
        <v>288</v>
      </c>
      <c r="D86" s="21"/>
      <c r="E86" s="16" t="s">
        <v>140</v>
      </c>
      <c r="F86" s="18" t="s">
        <v>179</v>
      </c>
      <c r="G86" s="18" t="s">
        <v>276</v>
      </c>
      <c r="H86" s="19" t="str">
        <f aca="false">Controlli_2!$L$101</f>
        <v/>
      </c>
      <c r="I86" s="0" t="n">
        <v>1</v>
      </c>
    </row>
    <row r="87" customFormat="false" ht="23.85" hidden="false" customHeight="false" outlineLevel="0" collapsed="false">
      <c r="A87" s="16" t="s">
        <v>289</v>
      </c>
      <c r="B87" s="16" t="s">
        <v>271</v>
      </c>
      <c r="C87" s="5" t="s">
        <v>290</v>
      </c>
      <c r="D87" s="21"/>
      <c r="E87" s="16" t="s">
        <v>140</v>
      </c>
      <c r="F87" s="18" t="s">
        <v>179</v>
      </c>
      <c r="G87" s="18" t="s">
        <v>276</v>
      </c>
      <c r="H87" s="19" t="str">
        <f aca="false">Controlli_2!$L$102</f>
        <v/>
      </c>
      <c r="I87" s="0" t="n">
        <v>1</v>
      </c>
    </row>
    <row r="88" customFormat="false" ht="23.85" hidden="false" customHeight="false" outlineLevel="0" collapsed="false">
      <c r="A88" s="16" t="s">
        <v>291</v>
      </c>
      <c r="B88" s="16" t="s">
        <v>271</v>
      </c>
      <c r="C88" s="5" t="s">
        <v>292</v>
      </c>
      <c r="D88" s="21"/>
      <c r="E88" s="16" t="s">
        <v>293</v>
      </c>
      <c r="F88" s="18" t="s">
        <v>179</v>
      </c>
      <c r="G88" s="18" t="s">
        <v>276</v>
      </c>
      <c r="H88" s="19" t="str">
        <f aca="false">Controlli_2!$L$103</f>
        <v/>
      </c>
      <c r="I88" s="0" t="n">
        <v>1</v>
      </c>
    </row>
    <row r="89" customFormat="false" ht="23.85" hidden="false" customHeight="false" outlineLevel="0" collapsed="false">
      <c r="A89" s="16" t="s">
        <v>294</v>
      </c>
      <c r="B89" s="16" t="s">
        <v>271</v>
      </c>
      <c r="C89" s="5" t="s">
        <v>295</v>
      </c>
      <c r="D89" s="21"/>
      <c r="E89" s="16" t="s">
        <v>293</v>
      </c>
      <c r="F89" s="18" t="s">
        <v>179</v>
      </c>
      <c r="G89" s="18" t="s">
        <v>276</v>
      </c>
      <c r="H89" s="19" t="str">
        <f aca="false">Controlli_2!$L$104</f>
        <v/>
      </c>
      <c r="I89" s="0" t="n">
        <v>1</v>
      </c>
    </row>
    <row r="90" customFormat="false" ht="23.85" hidden="false" customHeight="false" outlineLevel="0" collapsed="false">
      <c r="A90" s="16" t="s">
        <v>296</v>
      </c>
      <c r="B90" s="16" t="s">
        <v>271</v>
      </c>
      <c r="C90" s="5" t="s">
        <v>297</v>
      </c>
      <c r="D90" s="21"/>
      <c r="E90" s="16" t="s">
        <v>293</v>
      </c>
      <c r="F90" s="18" t="s">
        <v>298</v>
      </c>
      <c r="G90" s="18" t="s">
        <v>299</v>
      </c>
      <c r="H90" s="19" t="str">
        <f aca="false">Controlli_2!$L$105</f>
        <v/>
      </c>
      <c r="I90" s="0" t="n">
        <v>1</v>
      </c>
    </row>
    <row r="91" customFormat="false" ht="23.85" hidden="false" customHeight="false" outlineLevel="0" collapsed="false">
      <c r="A91" s="16" t="s">
        <v>300</v>
      </c>
      <c r="B91" s="16" t="s">
        <v>271</v>
      </c>
      <c r="C91" s="5" t="s">
        <v>301</v>
      </c>
      <c r="D91" s="21"/>
      <c r="E91" s="16" t="s">
        <v>293</v>
      </c>
      <c r="F91" s="18" t="s">
        <v>298</v>
      </c>
      <c r="G91" s="18" t="s">
        <v>299</v>
      </c>
      <c r="H91" s="19" t="str">
        <f aca="false">Controlli_2!$L$106</f>
        <v/>
      </c>
      <c r="I91" s="0" t="n">
        <v>1</v>
      </c>
    </row>
    <row r="92" customFormat="false" ht="23.85" hidden="false" customHeight="false" outlineLevel="0" collapsed="false">
      <c r="A92" s="16" t="s">
        <v>302</v>
      </c>
      <c r="B92" s="16" t="s">
        <v>271</v>
      </c>
      <c r="C92" s="5" t="s">
        <v>303</v>
      </c>
      <c r="D92" s="21"/>
      <c r="E92" s="16" t="s">
        <v>239</v>
      </c>
      <c r="F92" s="18" t="s">
        <v>136</v>
      </c>
      <c r="G92" s="18" t="s">
        <v>304</v>
      </c>
      <c r="H92" s="19" t="str">
        <f aca="false">Controlli_2!$L$107</f>
        <v/>
      </c>
      <c r="I92" s="0" t="n">
        <v>1</v>
      </c>
    </row>
    <row r="93" customFormat="false" ht="23.85" hidden="false" customHeight="false" outlineLevel="0" collapsed="false">
      <c r="A93" s="16" t="s">
        <v>305</v>
      </c>
      <c r="B93" s="16" t="s">
        <v>271</v>
      </c>
      <c r="C93" s="5" t="s">
        <v>306</v>
      </c>
      <c r="D93" s="21"/>
      <c r="E93" s="16" t="s">
        <v>239</v>
      </c>
      <c r="F93" s="18" t="s">
        <v>179</v>
      </c>
      <c r="G93" s="18" t="s">
        <v>307</v>
      </c>
      <c r="H93" s="19" t="str">
        <f aca="false">Controlli_2!$L$108</f>
        <v/>
      </c>
      <c r="I93" s="0" t="n">
        <v>1</v>
      </c>
    </row>
    <row r="94" customFormat="false" ht="15" hidden="false" customHeight="false" outlineLevel="0" collapsed="false">
      <c r="A94" s="16" t="s">
        <v>308</v>
      </c>
      <c r="B94" s="16" t="s">
        <v>271</v>
      </c>
      <c r="C94" s="5" t="s">
        <v>309</v>
      </c>
      <c r="D94" s="23" t="str">
        <f aca="false">IF(AND(ISNUMBER(Scheda_2!$D$92),ISNUMBER(Scheda_2!$D$93),Scheda_2!$D$92&gt;0),Scheda_2!$D$93/Scheda_2!$D$92,"")</f>
        <v/>
      </c>
      <c r="E94" s="16" t="s">
        <v>310</v>
      </c>
      <c r="F94" s="18" t="s">
        <v>43</v>
      </c>
      <c r="G94" s="18" t="s">
        <v>311</v>
      </c>
      <c r="H94" s="19" t="str">
        <f aca="false">Controlli_2!$L$109</f>
        <v/>
      </c>
      <c r="I94" s="0" t="n">
        <v>1</v>
      </c>
    </row>
    <row r="95" customFormat="false" ht="15" hidden="false" customHeight="false" outlineLevel="0" collapsed="false">
      <c r="A95" s="16" t="s">
        <v>312</v>
      </c>
      <c r="B95" s="16" t="s">
        <v>271</v>
      </c>
      <c r="C95" s="5" t="s">
        <v>313</v>
      </c>
      <c r="D95" s="21"/>
      <c r="E95" s="16" t="s">
        <v>239</v>
      </c>
      <c r="F95" s="18" t="s">
        <v>258</v>
      </c>
      <c r="G95" s="18" t="s">
        <v>314</v>
      </c>
      <c r="H95" s="19" t="str">
        <f aca="false">Controlli_2!$L$110</f>
        <v/>
      </c>
      <c r="I95" s="0" t="n">
        <v>1</v>
      </c>
    </row>
    <row r="96" customFormat="false" ht="23.85" hidden="false" customHeight="false" outlineLevel="0" collapsed="false">
      <c r="A96" s="16" t="s">
        <v>315</v>
      </c>
      <c r="B96" s="16" t="s">
        <v>271</v>
      </c>
      <c r="C96" s="5" t="s">
        <v>316</v>
      </c>
      <c r="D96" s="21"/>
      <c r="E96" s="16"/>
      <c r="F96" s="18" t="s">
        <v>298</v>
      </c>
      <c r="G96" s="18" t="s">
        <v>317</v>
      </c>
      <c r="H96" s="19" t="str">
        <f aca="false">Controlli_2!$L$111</f>
        <v/>
      </c>
      <c r="I96" s="0" t="n">
        <v>1</v>
      </c>
    </row>
    <row r="97" customFormat="false" ht="23.85" hidden="false" customHeight="false" outlineLevel="0" collapsed="false">
      <c r="A97" s="16" t="s">
        <v>318</v>
      </c>
      <c r="B97" s="16" t="s">
        <v>271</v>
      </c>
      <c r="C97" s="5" t="s">
        <v>319</v>
      </c>
      <c r="D97" s="21"/>
      <c r="E97" s="16" t="s">
        <v>293</v>
      </c>
      <c r="F97" s="18" t="s">
        <v>320</v>
      </c>
      <c r="G97" s="18" t="s">
        <v>321</v>
      </c>
      <c r="H97" s="19" t="str">
        <f aca="false">Controlli_2!$L$112</f>
        <v/>
      </c>
      <c r="I97" s="0" t="n">
        <v>1</v>
      </c>
    </row>
    <row r="98" customFormat="false" ht="23.85" hidden="false" customHeight="false" outlineLevel="0" collapsed="false">
      <c r="A98" s="16" t="s">
        <v>322</v>
      </c>
      <c r="B98" s="16" t="s">
        <v>271</v>
      </c>
      <c r="C98" s="5" t="s">
        <v>323</v>
      </c>
      <c r="D98" s="21"/>
      <c r="E98" s="16"/>
      <c r="F98" s="18" t="s">
        <v>298</v>
      </c>
      <c r="G98" s="18" t="s">
        <v>324</v>
      </c>
      <c r="H98" s="19" t="str">
        <f aca="false">Controlli_2!$L$113</f>
        <v/>
      </c>
      <c r="I98" s="0" t="n">
        <v>1</v>
      </c>
    </row>
    <row r="99" customFormat="false" ht="23.85" hidden="false" customHeight="false" outlineLevel="0" collapsed="false">
      <c r="A99" s="16" t="s">
        <v>325</v>
      </c>
      <c r="B99" s="16" t="s">
        <v>271</v>
      </c>
      <c r="C99" s="5" t="s">
        <v>326</v>
      </c>
      <c r="D99" s="21"/>
      <c r="E99" s="16"/>
      <c r="F99" s="18" t="s">
        <v>179</v>
      </c>
      <c r="G99" s="18" t="s">
        <v>327</v>
      </c>
      <c r="H99" s="19" t="str">
        <f aca="false">Controlli_2!$L$114</f>
        <v/>
      </c>
      <c r="I99" s="0" t="n">
        <v>1</v>
      </c>
    </row>
    <row r="100" customFormat="false" ht="23.85" hidden="false" customHeight="false" outlineLevel="0" collapsed="false">
      <c r="A100" s="16" t="s">
        <v>328</v>
      </c>
      <c r="B100" s="16" t="s">
        <v>271</v>
      </c>
      <c r="C100" s="5" t="s">
        <v>329</v>
      </c>
      <c r="D100" s="21"/>
      <c r="E100" s="16" t="s">
        <v>140</v>
      </c>
      <c r="F100" s="18" t="s">
        <v>330</v>
      </c>
      <c r="G100" s="18" t="s">
        <v>331</v>
      </c>
      <c r="H100" s="19" t="str">
        <f aca="false">Controlli_2!$L$115</f>
        <v/>
      </c>
      <c r="I100" s="0" t="n">
        <v>1</v>
      </c>
    </row>
    <row r="101" customFormat="false" ht="23.85" hidden="false" customHeight="false" outlineLevel="0" collapsed="false">
      <c r="A101" s="16" t="s">
        <v>332</v>
      </c>
      <c r="B101" s="16" t="s">
        <v>271</v>
      </c>
      <c r="C101" s="5" t="s">
        <v>333</v>
      </c>
      <c r="D101" s="21"/>
      <c r="E101" s="16" t="s">
        <v>140</v>
      </c>
      <c r="F101" s="18" t="s">
        <v>330</v>
      </c>
      <c r="G101" s="18" t="s">
        <v>331</v>
      </c>
      <c r="H101" s="19" t="str">
        <f aca="false">Controlli_2!$L$116</f>
        <v/>
      </c>
      <c r="I101" s="0" t="n">
        <v>1</v>
      </c>
    </row>
    <row r="102" customFormat="false" ht="23.85" hidden="false" customHeight="false" outlineLevel="0" collapsed="false">
      <c r="A102" s="16" t="s">
        <v>334</v>
      </c>
      <c r="B102" s="16" t="s">
        <v>271</v>
      </c>
      <c r="C102" s="5" t="s">
        <v>335</v>
      </c>
      <c r="D102" s="21"/>
      <c r="E102" s="16" t="s">
        <v>140</v>
      </c>
      <c r="F102" s="18" t="s">
        <v>179</v>
      </c>
      <c r="G102" s="18" t="s">
        <v>336</v>
      </c>
      <c r="H102" s="19" t="str">
        <f aca="false">Controlli_2!$L$117</f>
        <v/>
      </c>
      <c r="I102" s="0" t="n">
        <v>1</v>
      </c>
    </row>
    <row r="103" customFormat="false" ht="23.85" hidden="false" customHeight="false" outlineLevel="0" collapsed="false">
      <c r="A103" s="16" t="s">
        <v>337</v>
      </c>
      <c r="B103" s="16" t="s">
        <v>271</v>
      </c>
      <c r="C103" s="5" t="s">
        <v>338</v>
      </c>
      <c r="D103" s="21"/>
      <c r="E103" s="16" t="s">
        <v>140</v>
      </c>
      <c r="F103" s="18" t="s">
        <v>179</v>
      </c>
      <c r="G103" s="18" t="s">
        <v>339</v>
      </c>
      <c r="H103" s="19" t="str">
        <f aca="false">Controlli_2!$L$118</f>
        <v/>
      </c>
      <c r="I103" s="0" t="n">
        <v>1</v>
      </c>
    </row>
    <row r="104" customFormat="false" ht="23.85" hidden="false" customHeight="false" outlineLevel="0" collapsed="false">
      <c r="A104" s="16" t="s">
        <v>340</v>
      </c>
      <c r="B104" s="16" t="s">
        <v>271</v>
      </c>
      <c r="C104" s="5" t="s">
        <v>341</v>
      </c>
      <c r="D104" s="21"/>
      <c r="E104" s="16" t="s">
        <v>140</v>
      </c>
      <c r="F104" s="18" t="s">
        <v>179</v>
      </c>
      <c r="G104" s="18" t="s">
        <v>339</v>
      </c>
      <c r="H104" s="19" t="str">
        <f aca="false">Controlli_2!$L$119</f>
        <v/>
      </c>
      <c r="I104" s="0" t="n">
        <v>1</v>
      </c>
    </row>
    <row r="105" customFormat="false" ht="23.85" hidden="false" customHeight="false" outlineLevel="0" collapsed="false">
      <c r="A105" s="16" t="s">
        <v>342</v>
      </c>
      <c r="B105" s="16" t="s">
        <v>271</v>
      </c>
      <c r="C105" s="5" t="s">
        <v>343</v>
      </c>
      <c r="D105" s="21"/>
      <c r="E105" s="16" t="s">
        <v>140</v>
      </c>
      <c r="F105" s="18" t="s">
        <v>179</v>
      </c>
      <c r="G105" s="18" t="s">
        <v>344</v>
      </c>
      <c r="H105" s="19" t="str">
        <f aca="false">Controlli_2!$L$120</f>
        <v/>
      </c>
      <c r="I105" s="0" t="n">
        <v>1</v>
      </c>
    </row>
    <row r="106" customFormat="false" ht="23.85" hidden="false" customHeight="false" outlineLevel="0" collapsed="false">
      <c r="A106" s="16" t="s">
        <v>345</v>
      </c>
      <c r="B106" s="16" t="s">
        <v>271</v>
      </c>
      <c r="C106" s="5" t="s">
        <v>346</v>
      </c>
      <c r="D106" s="21"/>
      <c r="E106" s="16"/>
      <c r="F106" s="18" t="s">
        <v>179</v>
      </c>
      <c r="G106" s="18" t="s">
        <v>347</v>
      </c>
      <c r="H106" s="19" t="str">
        <f aca="false">Controlli_2!$L$121</f>
        <v/>
      </c>
      <c r="I106" s="0" t="n">
        <v>1</v>
      </c>
    </row>
    <row r="107" customFormat="false" ht="35.05" hidden="false" customHeight="false" outlineLevel="0" collapsed="false">
      <c r="A107" s="16" t="s">
        <v>348</v>
      </c>
      <c r="B107" s="16" t="s">
        <v>271</v>
      </c>
      <c r="C107" s="5" t="s">
        <v>349</v>
      </c>
      <c r="D107" s="21"/>
      <c r="E107" s="16" t="s">
        <v>140</v>
      </c>
      <c r="F107" s="18" t="s">
        <v>350</v>
      </c>
      <c r="G107" s="18" t="s">
        <v>351</v>
      </c>
      <c r="H107" s="19" t="str">
        <f aca="false">Controlli_2!$L$122</f>
        <v/>
      </c>
      <c r="I107" s="0" t="n">
        <v>1</v>
      </c>
    </row>
    <row r="108" customFormat="false" ht="35.05" hidden="false" customHeight="false" outlineLevel="0" collapsed="false">
      <c r="A108" s="16" t="s">
        <v>352</v>
      </c>
      <c r="B108" s="16" t="s">
        <v>271</v>
      </c>
      <c r="C108" s="5" t="s">
        <v>353</v>
      </c>
      <c r="D108" s="21"/>
      <c r="E108" s="16" t="s">
        <v>140</v>
      </c>
      <c r="F108" s="18" t="s">
        <v>350</v>
      </c>
      <c r="G108" s="18" t="s">
        <v>354</v>
      </c>
      <c r="H108" s="19" t="str">
        <f aca="false">Controlli_2!$L$123</f>
        <v/>
      </c>
      <c r="I108" s="0" t="n">
        <v>1</v>
      </c>
    </row>
    <row r="109" customFormat="false" ht="23.85" hidden="false" customHeight="false" outlineLevel="0" collapsed="false">
      <c r="A109" s="16" t="s">
        <v>355</v>
      </c>
      <c r="B109" s="16" t="s">
        <v>271</v>
      </c>
      <c r="C109" s="5" t="s">
        <v>356</v>
      </c>
      <c r="D109" s="21"/>
      <c r="E109" s="16"/>
      <c r="F109" s="18" t="s">
        <v>179</v>
      </c>
      <c r="G109" s="18" t="s">
        <v>357</v>
      </c>
      <c r="H109" s="19" t="str">
        <f aca="false">Controlli_2!$L$124</f>
        <v/>
      </c>
      <c r="I109" s="0" t="n">
        <v>1</v>
      </c>
    </row>
    <row r="110" customFormat="false" ht="23.85" hidden="false" customHeight="false" outlineLevel="0" collapsed="false">
      <c r="A110" s="16" t="s">
        <v>358</v>
      </c>
      <c r="B110" s="16" t="s">
        <v>271</v>
      </c>
      <c r="C110" s="5" t="s">
        <v>359</v>
      </c>
      <c r="D110" s="21"/>
      <c r="E110" s="16" t="s">
        <v>234</v>
      </c>
      <c r="F110" s="18" t="s">
        <v>179</v>
      </c>
      <c r="G110" s="18" t="s">
        <v>360</v>
      </c>
      <c r="H110" s="19" t="str">
        <f aca="false">Controlli_2!$L$125</f>
        <v/>
      </c>
      <c r="I110" s="0" t="n">
        <v>1</v>
      </c>
    </row>
    <row r="111" customFormat="false" ht="23.85" hidden="false" customHeight="false" outlineLevel="0" collapsed="false">
      <c r="A111" s="16" t="s">
        <v>361</v>
      </c>
      <c r="B111" s="16" t="s">
        <v>271</v>
      </c>
      <c r="C111" s="5" t="s">
        <v>362</v>
      </c>
      <c r="D111" s="21"/>
      <c r="E111" s="16" t="s">
        <v>234</v>
      </c>
      <c r="F111" s="18" t="s">
        <v>179</v>
      </c>
      <c r="G111" s="18" t="s">
        <v>363</v>
      </c>
      <c r="H111" s="19" t="str">
        <f aca="false">Controlli_2!$L$126</f>
        <v/>
      </c>
      <c r="I111" s="0" t="n">
        <v>1</v>
      </c>
    </row>
    <row r="112" customFormat="false" ht="23.85" hidden="false" customHeight="false" outlineLevel="0" collapsed="false">
      <c r="A112" s="16" t="s">
        <v>364</v>
      </c>
      <c r="B112" s="16" t="s">
        <v>271</v>
      </c>
      <c r="C112" s="5" t="s">
        <v>365</v>
      </c>
      <c r="D112" s="21"/>
      <c r="E112" s="16" t="s">
        <v>234</v>
      </c>
      <c r="F112" s="18" t="s">
        <v>179</v>
      </c>
      <c r="G112" s="18" t="s">
        <v>363</v>
      </c>
      <c r="H112" s="19" t="str">
        <f aca="false">Controlli_2!$L$127</f>
        <v/>
      </c>
      <c r="I112" s="0" t="n">
        <v>1</v>
      </c>
    </row>
    <row r="113" customFormat="false" ht="23.85" hidden="false" customHeight="false" outlineLevel="0" collapsed="false">
      <c r="A113" s="16" t="s">
        <v>366</v>
      </c>
      <c r="B113" s="16" t="s">
        <v>271</v>
      </c>
      <c r="C113" s="5" t="s">
        <v>367</v>
      </c>
      <c r="D113" s="21"/>
      <c r="E113" s="16" t="s">
        <v>293</v>
      </c>
      <c r="F113" s="18" t="s">
        <v>298</v>
      </c>
      <c r="G113" s="18" t="s">
        <v>368</v>
      </c>
      <c r="H113" s="19" t="str">
        <f aca="false">Controlli_2!$L$128</f>
        <v/>
      </c>
      <c r="I113" s="0" t="n">
        <v>1</v>
      </c>
    </row>
    <row r="114" customFormat="false" ht="23.85" hidden="false" customHeight="false" outlineLevel="0" collapsed="false">
      <c r="A114" s="16" t="s">
        <v>369</v>
      </c>
      <c r="B114" s="16" t="s">
        <v>271</v>
      </c>
      <c r="C114" s="5" t="s">
        <v>370</v>
      </c>
      <c r="D114" s="21"/>
      <c r="E114" s="16"/>
      <c r="F114" s="18" t="s">
        <v>298</v>
      </c>
      <c r="G114" s="18" t="s">
        <v>372</v>
      </c>
      <c r="H114" s="19" t="str">
        <f aca="false">Controlli_2!$L$129</f>
        <v/>
      </c>
      <c r="I114" s="0" t="n">
        <v>1</v>
      </c>
    </row>
    <row r="115" customFormat="false" ht="23.85" hidden="false" customHeight="false" outlineLevel="0" collapsed="false">
      <c r="A115" s="16" t="s">
        <v>373</v>
      </c>
      <c r="B115" s="16" t="s">
        <v>271</v>
      </c>
      <c r="C115" s="5" t="s">
        <v>374</v>
      </c>
      <c r="D115" s="21"/>
      <c r="E115" s="16" t="s">
        <v>140</v>
      </c>
      <c r="F115" s="18" t="s">
        <v>375</v>
      </c>
      <c r="G115" s="18" t="s">
        <v>376</v>
      </c>
      <c r="H115" s="19" t="str">
        <f aca="false">Controlli_2!$L$130</f>
        <v/>
      </c>
      <c r="I115" s="0" t="n">
        <v>1</v>
      </c>
    </row>
    <row r="116" customFormat="false" ht="35.05" hidden="false" customHeight="false" outlineLevel="0" collapsed="false">
      <c r="A116" s="16" t="s">
        <v>377</v>
      </c>
      <c r="B116" s="16" t="s">
        <v>271</v>
      </c>
      <c r="C116" s="5" t="s">
        <v>378</v>
      </c>
      <c r="D116" s="21"/>
      <c r="E116" s="16"/>
      <c r="F116" s="18" t="s">
        <v>380</v>
      </c>
      <c r="G116" s="18" t="s">
        <v>376</v>
      </c>
      <c r="H116" s="19" t="str">
        <f aca="false">Controlli_2!$L$131</f>
        <v/>
      </c>
      <c r="I116" s="0" t="n">
        <v>1</v>
      </c>
    </row>
    <row r="117" customFormat="false" ht="23.85" hidden="false" customHeight="false" outlineLevel="0" collapsed="false">
      <c r="A117" s="16" t="s">
        <v>381</v>
      </c>
      <c r="B117" s="16" t="s">
        <v>271</v>
      </c>
      <c r="C117" s="5" t="s">
        <v>382</v>
      </c>
      <c r="D117" s="21"/>
      <c r="E117" s="16"/>
      <c r="F117" s="18" t="s">
        <v>298</v>
      </c>
      <c r="G117" s="18" t="s">
        <v>384</v>
      </c>
      <c r="H117" s="19" t="str">
        <f aca="false">Controlli_2!$L$132</f>
        <v/>
      </c>
      <c r="I117" s="0" t="n">
        <v>1</v>
      </c>
    </row>
    <row r="118" customFormat="false" ht="23.85" hidden="false" customHeight="false" outlineLevel="0" collapsed="false">
      <c r="A118" s="16" t="s">
        <v>385</v>
      </c>
      <c r="B118" s="16" t="s">
        <v>271</v>
      </c>
      <c r="C118" s="5" t="s">
        <v>386</v>
      </c>
      <c r="D118" s="21"/>
      <c r="E118" s="16"/>
      <c r="F118" s="18" t="s">
        <v>298</v>
      </c>
      <c r="G118" s="18" t="s">
        <v>388</v>
      </c>
      <c r="H118" s="19" t="str">
        <f aca="false">Controlli_2!$L$133</f>
        <v/>
      </c>
      <c r="I118" s="0" t="n">
        <v>1</v>
      </c>
    </row>
    <row r="119" customFormat="false" ht="23.85" hidden="false" customHeight="false" outlineLevel="0" collapsed="false">
      <c r="A119" s="16" t="s">
        <v>389</v>
      </c>
      <c r="B119" s="16" t="s">
        <v>271</v>
      </c>
      <c r="C119" s="5" t="s">
        <v>390</v>
      </c>
      <c r="D119" s="21"/>
      <c r="E119" s="16"/>
      <c r="F119" s="18" t="s">
        <v>298</v>
      </c>
      <c r="G119" s="18" t="s">
        <v>391</v>
      </c>
      <c r="H119" s="19" t="str">
        <f aca="false">Controlli_2!$L$134</f>
        <v/>
      </c>
      <c r="I119" s="0" t="n">
        <v>1</v>
      </c>
    </row>
    <row r="120" customFormat="false" ht="23.85" hidden="false" customHeight="false" outlineLevel="0" collapsed="false">
      <c r="A120" s="16" t="s">
        <v>392</v>
      </c>
      <c r="B120" s="16" t="s">
        <v>271</v>
      </c>
      <c r="C120" s="5" t="s">
        <v>393</v>
      </c>
      <c r="D120" s="21"/>
      <c r="E120" s="16" t="s">
        <v>234</v>
      </c>
      <c r="F120" s="18" t="s">
        <v>179</v>
      </c>
      <c r="G120" s="18" t="s">
        <v>145</v>
      </c>
      <c r="H120" s="19" t="str">
        <f aca="false">Controlli_2!$L$135</f>
        <v/>
      </c>
      <c r="I120" s="0" t="n">
        <v>1</v>
      </c>
    </row>
    <row r="121" customFormat="false" ht="23.85" hidden="false" customHeight="false" outlineLevel="0" collapsed="false">
      <c r="A121" s="16" t="s">
        <v>394</v>
      </c>
      <c r="B121" s="16" t="s">
        <v>271</v>
      </c>
      <c r="C121" s="5" t="s">
        <v>395</v>
      </c>
      <c r="D121" s="21"/>
      <c r="E121" s="16" t="s">
        <v>239</v>
      </c>
      <c r="F121" s="18" t="s">
        <v>179</v>
      </c>
      <c r="G121" s="18" t="s">
        <v>145</v>
      </c>
      <c r="H121" s="19" t="str">
        <f aca="false">Controlli_2!$L$136</f>
        <v/>
      </c>
      <c r="I121" s="0" t="n">
        <v>1</v>
      </c>
    </row>
    <row r="122" customFormat="false" ht="25.35" hidden="false" customHeight="false" outlineLevel="0" collapsed="false">
      <c r="A122" s="16" t="s">
        <v>396</v>
      </c>
      <c r="B122" s="16" t="s">
        <v>271</v>
      </c>
      <c r="C122" s="5" t="s">
        <v>397</v>
      </c>
      <c r="D122" s="21"/>
      <c r="E122" s="16"/>
      <c r="F122" s="18" t="s">
        <v>398</v>
      </c>
      <c r="G122" s="18" t="s">
        <v>399</v>
      </c>
      <c r="H122" s="19" t="str">
        <f aca="false">Controlli_2!$L$137</f>
        <v/>
      </c>
      <c r="I122" s="0" t="n">
        <v>1</v>
      </c>
    </row>
    <row r="123" customFormat="false" ht="15" hidden="false" customHeight="false" outlineLevel="0" collapsed="false">
      <c r="A123" s="16" t="s">
        <v>400</v>
      </c>
      <c r="B123" s="16" t="s">
        <v>271</v>
      </c>
      <c r="C123" s="5" t="s">
        <v>401</v>
      </c>
      <c r="D123" s="21"/>
      <c r="E123" s="16" t="s">
        <v>140</v>
      </c>
      <c r="F123" s="18" t="s">
        <v>402</v>
      </c>
      <c r="G123" s="18" t="s">
        <v>403</v>
      </c>
      <c r="H123" s="19" t="str">
        <f aca="false">Controlli_2!$L$138</f>
        <v/>
      </c>
      <c r="I123" s="0" t="n">
        <v>1</v>
      </c>
    </row>
    <row r="124" customFormat="false" ht="15" hidden="false" customHeight="false" outlineLevel="0" collapsed="false">
      <c r="A124" s="16" t="s">
        <v>404</v>
      </c>
      <c r="B124" s="16" t="s">
        <v>271</v>
      </c>
      <c r="C124" s="5" t="s">
        <v>405</v>
      </c>
      <c r="D124" s="21"/>
      <c r="E124" s="16" t="s">
        <v>140</v>
      </c>
      <c r="F124" s="18" t="s">
        <v>402</v>
      </c>
      <c r="G124" s="18" t="s">
        <v>276</v>
      </c>
      <c r="H124" s="19" t="str">
        <f aca="false">Controlli_2!$L$139</f>
        <v/>
      </c>
      <c r="I124" s="0" t="n">
        <v>1</v>
      </c>
    </row>
    <row r="125" customFormat="false" ht="15" hidden="false" customHeight="false" outlineLevel="0" collapsed="false">
      <c r="A125" s="16" t="s">
        <v>406</v>
      </c>
      <c r="B125" s="16" t="s">
        <v>271</v>
      </c>
      <c r="C125" s="5" t="s">
        <v>407</v>
      </c>
      <c r="D125" s="21"/>
      <c r="E125" s="16" t="s">
        <v>310</v>
      </c>
      <c r="F125" s="18" t="s">
        <v>402</v>
      </c>
      <c r="G125" s="18" t="s">
        <v>276</v>
      </c>
      <c r="H125" s="19" t="str">
        <f aca="false">Controlli_2!$L$140</f>
        <v/>
      </c>
      <c r="I125" s="0" t="n">
        <v>1</v>
      </c>
    </row>
    <row r="126" customFormat="false" ht="15" hidden="false" customHeight="false" outlineLevel="0" collapsed="false">
      <c r="A126" s="16" t="s">
        <v>408</v>
      </c>
      <c r="B126" s="16" t="s">
        <v>271</v>
      </c>
      <c r="C126" s="5" t="s">
        <v>409</v>
      </c>
      <c r="D126" s="21"/>
      <c r="E126" s="16" t="s">
        <v>140</v>
      </c>
      <c r="F126" s="18" t="s">
        <v>402</v>
      </c>
      <c r="G126" s="18" t="s">
        <v>276</v>
      </c>
      <c r="H126" s="19" t="str">
        <f aca="false">Controlli_2!$L$141</f>
        <v/>
      </c>
      <c r="I126" s="0" t="n">
        <v>1</v>
      </c>
    </row>
    <row r="127" customFormat="false" ht="15" hidden="false" customHeight="false" outlineLevel="0" collapsed="false">
      <c r="A127" s="16" t="s">
        <v>410</v>
      </c>
      <c r="B127" s="16" t="s">
        <v>271</v>
      </c>
      <c r="C127" s="5" t="s">
        <v>411</v>
      </c>
      <c r="D127" s="21"/>
      <c r="E127" s="16"/>
      <c r="F127" s="18" t="s">
        <v>402</v>
      </c>
      <c r="G127" s="18" t="s">
        <v>276</v>
      </c>
      <c r="H127" s="19" t="str">
        <f aca="false">Controlli_2!$L$142</f>
        <v/>
      </c>
      <c r="I127" s="0" t="n">
        <v>1</v>
      </c>
    </row>
    <row r="128" customFormat="false" ht="19.5" hidden="false" customHeight="true" outlineLevel="0" collapsed="false">
      <c r="A128" s="14" t="s">
        <v>412</v>
      </c>
      <c r="B128" s="14"/>
      <c r="C128" s="14"/>
      <c r="D128" s="14"/>
      <c r="E128" s="14"/>
      <c r="F128" s="14"/>
      <c r="G128" s="14"/>
      <c r="H128" s="14"/>
    </row>
    <row r="129" customFormat="false" ht="23.85" hidden="false" customHeight="false" outlineLevel="0" collapsed="false">
      <c r="A129" s="16" t="s">
        <v>413</v>
      </c>
      <c r="B129" s="16" t="s">
        <v>414</v>
      </c>
      <c r="C129" s="5" t="s">
        <v>415</v>
      </c>
      <c r="D129" s="21" t="s">
        <v>416</v>
      </c>
      <c r="E129" s="16"/>
      <c r="F129" s="18" t="s">
        <v>417</v>
      </c>
      <c r="G129" s="18" t="s">
        <v>418</v>
      </c>
      <c r="H129" s="19" t="str">
        <f aca="false">Controlli_2!$L$143</f>
        <v/>
      </c>
      <c r="I129" s="0" t="n">
        <v>1</v>
      </c>
    </row>
    <row r="130" customFormat="false" ht="15" hidden="false" customHeight="false" outlineLevel="0" collapsed="false">
      <c r="A130" s="16" t="s">
        <v>419</v>
      </c>
      <c r="B130" s="16" t="s">
        <v>414</v>
      </c>
      <c r="C130" s="5" t="s">
        <v>420</v>
      </c>
      <c r="D130" s="21"/>
      <c r="E130" s="16"/>
      <c r="F130" s="18" t="s">
        <v>421</v>
      </c>
      <c r="G130" s="18" t="s">
        <v>145</v>
      </c>
      <c r="H130" s="19" t="str">
        <f aca="false">Controlli_2!$L$144</f>
        <v/>
      </c>
      <c r="I130" s="0" t="n">
        <v>1</v>
      </c>
    </row>
    <row r="131" customFormat="false" ht="25.35" hidden="false" customHeight="false" outlineLevel="0" collapsed="false">
      <c r="A131" s="16" t="s">
        <v>422</v>
      </c>
      <c r="B131" s="16" t="s">
        <v>414</v>
      </c>
      <c r="C131" s="5" t="s">
        <v>423</v>
      </c>
      <c r="D131" s="21"/>
      <c r="E131" s="16" t="s">
        <v>310</v>
      </c>
      <c r="F131" s="18" t="s">
        <v>424</v>
      </c>
      <c r="G131" s="18" t="s">
        <v>145</v>
      </c>
      <c r="H131" s="19" t="str">
        <f aca="false">Controlli_2!$L$145</f>
        <v/>
      </c>
      <c r="I131" s="0" t="n">
        <v>1</v>
      </c>
    </row>
    <row r="132" customFormat="false" ht="23.85" hidden="false" customHeight="false" outlineLevel="0" collapsed="false">
      <c r="A132" s="16" t="s">
        <v>425</v>
      </c>
      <c r="B132" s="16" t="s">
        <v>414</v>
      </c>
      <c r="C132" s="5" t="s">
        <v>426</v>
      </c>
      <c r="D132" s="21" t="s">
        <v>810</v>
      </c>
      <c r="E132" s="16"/>
      <c r="F132" s="18" t="s">
        <v>427</v>
      </c>
      <c r="G132" s="18" t="s">
        <v>428</v>
      </c>
      <c r="H132" s="19" t="str">
        <f aca="false">Controlli_2!$L$146</f>
        <v>NON NOTO</v>
      </c>
      <c r="I132" s="0" t="n">
        <v>1</v>
      </c>
    </row>
    <row r="133" customFormat="false" ht="23.85" hidden="false" customHeight="false" outlineLevel="0" collapsed="false">
      <c r="A133" s="16" t="s">
        <v>429</v>
      </c>
      <c r="B133" s="16" t="s">
        <v>414</v>
      </c>
      <c r="C133" s="5" t="s">
        <v>430</v>
      </c>
      <c r="D133" s="21"/>
      <c r="E133" s="16"/>
      <c r="F133" s="18" t="s">
        <v>431</v>
      </c>
      <c r="G133" s="18" t="s">
        <v>432</v>
      </c>
      <c r="H133" s="19" t="str">
        <f aca="false">Controlli_2!$L$147</f>
        <v/>
      </c>
      <c r="I133" s="0" t="n">
        <v>1</v>
      </c>
    </row>
    <row r="134" customFormat="false" ht="23.85" hidden="false" customHeight="false" outlineLevel="0" collapsed="false">
      <c r="A134" s="16" t="s">
        <v>433</v>
      </c>
      <c r="B134" s="16" t="s">
        <v>414</v>
      </c>
      <c r="C134" s="5" t="s">
        <v>434</v>
      </c>
      <c r="D134" s="21"/>
      <c r="E134" s="16"/>
      <c r="F134" s="18" t="s">
        <v>435</v>
      </c>
      <c r="G134" s="18" t="s">
        <v>436</v>
      </c>
      <c r="H134" s="19" t="str">
        <f aca="false">Controlli_2!$L$148</f>
        <v/>
      </c>
      <c r="I134" s="0" t="n">
        <v>1</v>
      </c>
    </row>
    <row r="135" customFormat="false" ht="23.85" hidden="false" customHeight="false" outlineLevel="0" collapsed="false">
      <c r="A135" s="16" t="s">
        <v>437</v>
      </c>
      <c r="B135" s="16" t="s">
        <v>414</v>
      </c>
      <c r="C135" s="5" t="s">
        <v>438</v>
      </c>
      <c r="D135" s="21"/>
      <c r="E135" s="16"/>
      <c r="F135" s="18" t="s">
        <v>439</v>
      </c>
      <c r="G135" s="18" t="s">
        <v>440</v>
      </c>
      <c r="H135" s="19" t="str">
        <f aca="false">Controlli_2!$L$149</f>
        <v/>
      </c>
      <c r="I135" s="0" t="n">
        <v>1</v>
      </c>
    </row>
    <row r="136" customFormat="false" ht="23.85" hidden="false" customHeight="false" outlineLevel="0" collapsed="false">
      <c r="A136" s="16" t="s">
        <v>441</v>
      </c>
      <c r="B136" s="16" t="s">
        <v>414</v>
      </c>
      <c r="C136" s="5" t="s">
        <v>442</v>
      </c>
      <c r="D136" s="21"/>
      <c r="E136" s="16"/>
      <c r="F136" s="18" t="s">
        <v>443</v>
      </c>
      <c r="G136" s="18" t="s">
        <v>444</v>
      </c>
      <c r="H136" s="19" t="str">
        <f aca="false">Controlli_2!$L$150</f>
        <v/>
      </c>
      <c r="I136" s="0" t="n">
        <v>1</v>
      </c>
    </row>
    <row r="137" customFormat="false" ht="15" hidden="false" customHeight="false" outlineLevel="0" collapsed="false">
      <c r="A137" s="16" t="s">
        <v>445</v>
      </c>
      <c r="B137" s="16" t="s">
        <v>414</v>
      </c>
      <c r="C137" s="5" t="s">
        <v>446</v>
      </c>
      <c r="D137" s="21"/>
      <c r="E137" s="16"/>
      <c r="F137" s="18" t="s">
        <v>447</v>
      </c>
      <c r="G137" s="18" t="s">
        <v>448</v>
      </c>
      <c r="H137" s="19" t="str">
        <f aca="false">Controlli_2!$L$151</f>
        <v/>
      </c>
      <c r="I137" s="0" t="n">
        <v>1</v>
      </c>
    </row>
    <row r="138" customFormat="false" ht="15" hidden="false" customHeight="false" outlineLevel="0" collapsed="false">
      <c r="A138" s="16" t="s">
        <v>449</v>
      </c>
      <c r="B138" s="16" t="s">
        <v>414</v>
      </c>
      <c r="C138" s="5" t="s">
        <v>450</v>
      </c>
      <c r="D138" s="21"/>
      <c r="E138" s="16"/>
      <c r="F138" s="18" t="s">
        <v>447</v>
      </c>
      <c r="G138" s="18" t="s">
        <v>451</v>
      </c>
      <c r="H138" s="19" t="str">
        <f aca="false">Controlli_2!$L$152</f>
        <v/>
      </c>
      <c r="I138" s="0" t="n">
        <v>1</v>
      </c>
    </row>
    <row r="139" customFormat="false" ht="15" hidden="false" customHeight="false" outlineLevel="0" collapsed="false">
      <c r="A139" s="16" t="s">
        <v>452</v>
      </c>
      <c r="B139" s="16" t="s">
        <v>414</v>
      </c>
      <c r="C139" s="5" t="s">
        <v>453</v>
      </c>
      <c r="D139" s="21"/>
      <c r="E139" s="16"/>
      <c r="F139" s="18" t="s">
        <v>447</v>
      </c>
      <c r="G139" s="18" t="s">
        <v>451</v>
      </c>
      <c r="H139" s="19" t="str">
        <f aca="false">Controlli_2!$L$153</f>
        <v/>
      </c>
      <c r="I139" s="0" t="n">
        <v>1</v>
      </c>
    </row>
    <row r="140" customFormat="false" ht="15" hidden="false" customHeight="false" outlineLevel="0" collapsed="false">
      <c r="A140" s="16" t="s">
        <v>454</v>
      </c>
      <c r="B140" s="16" t="s">
        <v>414</v>
      </c>
      <c r="C140" s="5" t="s">
        <v>455</v>
      </c>
      <c r="D140" s="21"/>
      <c r="E140" s="16"/>
      <c r="F140" s="18" t="s">
        <v>447</v>
      </c>
      <c r="G140" s="18" t="s">
        <v>451</v>
      </c>
      <c r="H140" s="19" t="str">
        <f aca="false">Controlli_2!$L$154</f>
        <v/>
      </c>
      <c r="I140" s="0" t="n">
        <v>1</v>
      </c>
    </row>
    <row r="141" customFormat="false" ht="15" hidden="false" customHeight="false" outlineLevel="0" collapsed="false">
      <c r="A141" s="16" t="s">
        <v>456</v>
      </c>
      <c r="B141" s="16" t="s">
        <v>414</v>
      </c>
      <c r="C141" s="5" t="s">
        <v>457</v>
      </c>
      <c r="D141" s="21"/>
      <c r="E141" s="16"/>
      <c r="F141" s="18" t="s">
        <v>447</v>
      </c>
      <c r="G141" s="18" t="s">
        <v>458</v>
      </c>
      <c r="H141" s="19" t="str">
        <f aca="false">Controlli_2!$L$155</f>
        <v/>
      </c>
      <c r="I141" s="0" t="n">
        <v>1</v>
      </c>
    </row>
    <row r="142" customFormat="false" ht="15" hidden="false" customHeight="false" outlineLevel="0" collapsed="false">
      <c r="A142" s="16" t="s">
        <v>459</v>
      </c>
      <c r="B142" s="16" t="s">
        <v>414</v>
      </c>
      <c r="C142" s="5" t="s">
        <v>460</v>
      </c>
      <c r="D142" s="21"/>
      <c r="E142" s="16"/>
      <c r="F142" s="18" t="s">
        <v>447</v>
      </c>
      <c r="G142" s="18" t="s">
        <v>461</v>
      </c>
      <c r="H142" s="19" t="str">
        <f aca="false">Controlli_2!$L$156</f>
        <v/>
      </c>
      <c r="I142" s="0" t="n">
        <v>1</v>
      </c>
    </row>
    <row r="143" customFormat="false" ht="19.5" hidden="false" customHeight="true" outlineLevel="0" collapsed="false">
      <c r="A143" s="14" t="s">
        <v>462</v>
      </c>
      <c r="B143" s="14"/>
      <c r="C143" s="14"/>
      <c r="D143" s="14"/>
      <c r="E143" s="14"/>
      <c r="F143" s="14"/>
      <c r="G143" s="14"/>
      <c r="H143" s="14"/>
    </row>
    <row r="144" customFormat="false" ht="15" hidden="false" customHeight="false" outlineLevel="0" collapsed="false">
      <c r="A144" s="15" t="s">
        <v>463</v>
      </c>
      <c r="B144" s="15"/>
      <c r="C144" s="15"/>
      <c r="D144" s="15"/>
      <c r="E144" s="15"/>
      <c r="F144" s="15"/>
      <c r="G144" s="15"/>
      <c r="H144" s="15"/>
    </row>
    <row r="145" customFormat="false" ht="15" hidden="false" customHeight="false" outlineLevel="0" collapsed="false">
      <c r="A145" s="16" t="s">
        <v>464</v>
      </c>
      <c r="B145" s="16" t="s">
        <v>465</v>
      </c>
      <c r="C145" s="20" t="s">
        <v>466</v>
      </c>
      <c r="D145" s="21" t="s">
        <v>125</v>
      </c>
      <c r="E145" s="16"/>
      <c r="F145" s="18" t="s">
        <v>75</v>
      </c>
      <c r="G145" s="18" t="s">
        <v>467</v>
      </c>
      <c r="H145" s="19" t="str">
        <f aca="false">Controlli_2!$L$157</f>
        <v>ok</v>
      </c>
      <c r="I145" s="0" t="n">
        <v>1</v>
      </c>
    </row>
    <row r="146" customFormat="false" ht="15" hidden="false" customHeight="false" outlineLevel="0" collapsed="false">
      <c r="A146" s="16" t="s">
        <v>468</v>
      </c>
      <c r="B146" s="16" t="s">
        <v>465</v>
      </c>
      <c r="C146" s="5" t="s">
        <v>469</v>
      </c>
      <c r="D146" s="21"/>
      <c r="E146" s="16" t="s">
        <v>239</v>
      </c>
      <c r="F146" s="18" t="s">
        <v>465</v>
      </c>
      <c r="G146" s="18" t="s">
        <v>470</v>
      </c>
      <c r="H146" s="19" t="str">
        <f aca="false">Controlli_2!$L$158</f>
        <v/>
      </c>
      <c r="I146" s="24" t="n">
        <f aca="false">IF(Scheda_2!$D$145="Sì",1,0)</f>
        <v>0</v>
      </c>
    </row>
    <row r="147" customFormat="false" ht="15" hidden="false" customHeight="false" outlineLevel="0" collapsed="false">
      <c r="A147" s="16" t="s">
        <v>471</v>
      </c>
      <c r="B147" s="16" t="s">
        <v>465</v>
      </c>
      <c r="C147" s="5" t="s">
        <v>472</v>
      </c>
      <c r="D147" s="21"/>
      <c r="E147" s="16" t="s">
        <v>239</v>
      </c>
      <c r="F147" s="18" t="s">
        <v>465</v>
      </c>
      <c r="G147" s="18" t="s">
        <v>473</v>
      </c>
      <c r="H147" s="19" t="str">
        <f aca="false">Controlli_2!$L$159</f>
        <v/>
      </c>
      <c r="I147" s="24" t="n">
        <f aca="false">IF(Scheda_2!$D$145="Sì",1,0)</f>
        <v>0</v>
      </c>
    </row>
    <row r="148" customFormat="false" ht="15" hidden="false" customHeight="false" outlineLevel="0" collapsed="false">
      <c r="A148" s="16" t="s">
        <v>474</v>
      </c>
      <c r="B148" s="16" t="s">
        <v>465</v>
      </c>
      <c r="C148" s="5" t="s">
        <v>475</v>
      </c>
      <c r="D148" s="23" t="str">
        <f aca="false">IF(AND(ISNUMBER(Scheda_2!$D$92),ISNUMBER(Scheda_2!$D$147),Scheda_2!$D$92&gt;0),Scheda_2!$D$147/Scheda_2!$D$92,"")</f>
        <v/>
      </c>
      <c r="E148" s="16" t="s">
        <v>310</v>
      </c>
      <c r="F148" s="18" t="s">
        <v>43</v>
      </c>
      <c r="G148" s="18" t="s">
        <v>476</v>
      </c>
      <c r="H148" s="19" t="str">
        <f aca="false">Controlli_2!$L$160</f>
        <v/>
      </c>
      <c r="I148" s="24" t="n">
        <f aca="false">IF(Scheda_2!$D$145="Sì",1,0)</f>
        <v>0</v>
      </c>
    </row>
    <row r="149" customFormat="false" ht="15" hidden="false" customHeight="false" outlineLevel="0" collapsed="false">
      <c r="A149" s="16" t="s">
        <v>477</v>
      </c>
      <c r="B149" s="16" t="s">
        <v>465</v>
      </c>
      <c r="C149" s="5" t="s">
        <v>478</v>
      </c>
      <c r="D149" s="21"/>
      <c r="E149" s="16" t="s">
        <v>239</v>
      </c>
      <c r="F149" s="18" t="s">
        <v>465</v>
      </c>
      <c r="G149" s="18" t="s">
        <v>479</v>
      </c>
      <c r="H149" s="19" t="str">
        <f aca="false">Controlli_2!$L$161</f>
        <v/>
      </c>
      <c r="I149" s="24" t="n">
        <f aca="false">IF(Scheda_2!$D$145="Sì",1,0)</f>
        <v>0</v>
      </c>
    </row>
    <row r="150" customFormat="false" ht="15" hidden="false" customHeight="false" outlineLevel="0" collapsed="false">
      <c r="A150" s="16" t="s">
        <v>480</v>
      </c>
      <c r="B150" s="16" t="s">
        <v>465</v>
      </c>
      <c r="C150" s="5" t="s">
        <v>481</v>
      </c>
      <c r="D150" s="21"/>
      <c r="E150" s="16"/>
      <c r="F150" s="18" t="s">
        <v>465</v>
      </c>
      <c r="G150" s="18" t="s">
        <v>482</v>
      </c>
      <c r="H150" s="19" t="str">
        <f aca="false">Controlli_2!$L$162</f>
        <v/>
      </c>
      <c r="I150" s="24" t="n">
        <f aca="false">IF(Scheda_2!$D$145="Sì",1,0)</f>
        <v>0</v>
      </c>
    </row>
    <row r="151" customFormat="false" ht="25.35" hidden="false" customHeight="false" outlineLevel="0" collapsed="false">
      <c r="A151" s="16" t="s">
        <v>483</v>
      </c>
      <c r="B151" s="16" t="s">
        <v>465</v>
      </c>
      <c r="C151" s="5" t="s">
        <v>484</v>
      </c>
      <c r="D151" s="21"/>
      <c r="E151" s="16"/>
      <c r="F151" s="18" t="s">
        <v>465</v>
      </c>
      <c r="G151" s="18" t="s">
        <v>485</v>
      </c>
      <c r="H151" s="19" t="str">
        <f aca="false">Controlli_2!$L$163</f>
        <v/>
      </c>
      <c r="I151" s="24" t="n">
        <f aca="false">IF(Scheda_2!$D$145="Sì",1,0)</f>
        <v>0</v>
      </c>
    </row>
    <row r="152" customFormat="false" ht="23.85" hidden="false" customHeight="false" outlineLevel="0" collapsed="false">
      <c r="A152" s="16" t="s">
        <v>486</v>
      </c>
      <c r="B152" s="16" t="s">
        <v>465</v>
      </c>
      <c r="C152" s="5" t="s">
        <v>487</v>
      </c>
      <c r="D152" s="21"/>
      <c r="E152" s="16"/>
      <c r="F152" s="18" t="s">
        <v>465</v>
      </c>
      <c r="G152" s="18" t="s">
        <v>488</v>
      </c>
      <c r="H152" s="19" t="str">
        <f aca="false">Controlli_2!$L$164</f>
        <v/>
      </c>
      <c r="I152" s="24" t="n">
        <f aca="false">IF(Scheda_2!$D$145="Sì",1,0)</f>
        <v>0</v>
      </c>
    </row>
    <row r="153" customFormat="false" ht="15" hidden="false" customHeight="false" outlineLevel="0" collapsed="false">
      <c r="A153" s="16" t="s">
        <v>489</v>
      </c>
      <c r="B153" s="16" t="s">
        <v>465</v>
      </c>
      <c r="C153" s="5" t="s">
        <v>490</v>
      </c>
      <c r="D153" s="21"/>
      <c r="E153" s="16"/>
      <c r="F153" s="18" t="s">
        <v>465</v>
      </c>
      <c r="G153" s="18" t="s">
        <v>491</v>
      </c>
      <c r="H153" s="19" t="str">
        <f aca="false">Controlli_2!$L$165</f>
        <v/>
      </c>
      <c r="I153" s="24" t="n">
        <f aca="false">IF(Scheda_2!$D$145="Sì",1,0)</f>
        <v>0</v>
      </c>
    </row>
    <row r="154" customFormat="false" ht="15" hidden="false" customHeight="false" outlineLevel="0" collapsed="false">
      <c r="A154" s="16" t="s">
        <v>492</v>
      </c>
      <c r="B154" s="16" t="s">
        <v>465</v>
      </c>
      <c r="C154" s="5" t="s">
        <v>493</v>
      </c>
      <c r="D154" s="21"/>
      <c r="E154" s="16"/>
      <c r="F154" s="18" t="s">
        <v>465</v>
      </c>
      <c r="G154" s="18" t="s">
        <v>494</v>
      </c>
      <c r="H154" s="19" t="str">
        <f aca="false">Controlli_2!$L$166</f>
        <v/>
      </c>
      <c r="I154" s="24" t="n">
        <f aca="false">IF(Scheda_2!$D$145="Sì",1,0)</f>
        <v>0</v>
      </c>
    </row>
    <row r="155" customFormat="false" ht="15" hidden="false" customHeight="false" outlineLevel="0" collapsed="false">
      <c r="A155" s="16" t="s">
        <v>495</v>
      </c>
      <c r="B155" s="16" t="s">
        <v>465</v>
      </c>
      <c r="C155" s="5" t="s">
        <v>496</v>
      </c>
      <c r="D155" s="21"/>
      <c r="E155" s="16"/>
      <c r="F155" s="18" t="s">
        <v>465</v>
      </c>
      <c r="G155" s="18" t="s">
        <v>497</v>
      </c>
      <c r="H155" s="19" t="str">
        <f aca="false">Controlli_2!$L$167</f>
        <v/>
      </c>
      <c r="I155" s="24" t="n">
        <f aca="false">IF(Scheda_2!$D$145="Sì",1,0)</f>
        <v>0</v>
      </c>
    </row>
    <row r="156" customFormat="false" ht="15" hidden="false" customHeight="false" outlineLevel="0" collapsed="false">
      <c r="A156" s="16" t="s">
        <v>498</v>
      </c>
      <c r="B156" s="16" t="s">
        <v>465</v>
      </c>
      <c r="C156" s="5" t="s">
        <v>499</v>
      </c>
      <c r="D156" s="21"/>
      <c r="E156" s="16"/>
      <c r="F156" s="18" t="s">
        <v>465</v>
      </c>
      <c r="G156" s="18" t="s">
        <v>491</v>
      </c>
      <c r="H156" s="19" t="str">
        <f aca="false">Controlli_2!$L$168</f>
        <v/>
      </c>
      <c r="I156" s="24" t="n">
        <f aca="false">IF(Scheda_2!$D$145="Sì",1,0)</f>
        <v>0</v>
      </c>
    </row>
    <row r="157" customFormat="false" ht="15" hidden="false" customHeight="false" outlineLevel="0" collapsed="false">
      <c r="A157" s="16" t="s">
        <v>500</v>
      </c>
      <c r="B157" s="16" t="s">
        <v>465</v>
      </c>
      <c r="C157" s="5" t="s">
        <v>501</v>
      </c>
      <c r="D157" s="21"/>
      <c r="E157" s="16"/>
      <c r="F157" s="18" t="s">
        <v>465</v>
      </c>
      <c r="G157" s="18" t="s">
        <v>502</v>
      </c>
      <c r="H157" s="19" t="str">
        <f aca="false">Controlli_2!$L$169</f>
        <v/>
      </c>
      <c r="I157" s="24" t="n">
        <f aca="false">IF(Scheda_2!$D$145="Sì",1,0)</f>
        <v>0</v>
      </c>
    </row>
    <row r="158" customFormat="false" ht="15" hidden="false" customHeight="false" outlineLevel="0" collapsed="false">
      <c r="A158" s="16" t="s">
        <v>503</v>
      </c>
      <c r="B158" s="16" t="s">
        <v>465</v>
      </c>
      <c r="C158" s="5" t="s">
        <v>504</v>
      </c>
      <c r="D158" s="21"/>
      <c r="E158" s="16"/>
      <c r="F158" s="18" t="s">
        <v>465</v>
      </c>
      <c r="G158" s="18" t="s">
        <v>502</v>
      </c>
      <c r="H158" s="19" t="str">
        <f aca="false">Controlli_2!$L$170</f>
        <v/>
      </c>
      <c r="I158" s="24" t="n">
        <f aca="false">IF(Scheda_2!$D$145="Sì",1,0)</f>
        <v>0</v>
      </c>
    </row>
    <row r="159" customFormat="false" ht="15" hidden="false" customHeight="false" outlineLevel="0" collapsed="false">
      <c r="A159" s="16" t="s">
        <v>505</v>
      </c>
      <c r="B159" s="16" t="s">
        <v>465</v>
      </c>
      <c r="C159" s="5" t="s">
        <v>506</v>
      </c>
      <c r="D159" s="21"/>
      <c r="E159" s="16"/>
      <c r="F159" s="18" t="s">
        <v>507</v>
      </c>
      <c r="G159" s="18" t="s">
        <v>508</v>
      </c>
      <c r="H159" s="19" t="str">
        <f aca="false">Controlli_2!$L$171</f>
        <v/>
      </c>
      <c r="I159" s="24" t="n">
        <f aca="false">IF(Scheda_2!$D$145="Sì",1,0)</f>
        <v>0</v>
      </c>
    </row>
    <row r="160" customFormat="false" ht="15" hidden="false" customHeight="false" outlineLevel="0" collapsed="false">
      <c r="A160" s="16" t="s">
        <v>509</v>
      </c>
      <c r="B160" s="16" t="s">
        <v>465</v>
      </c>
      <c r="C160" s="5" t="s">
        <v>510</v>
      </c>
      <c r="D160" s="21"/>
      <c r="E160" s="16"/>
      <c r="F160" s="18" t="s">
        <v>511</v>
      </c>
      <c r="G160" s="18" t="s">
        <v>508</v>
      </c>
      <c r="H160" s="19" t="str">
        <f aca="false">Controlli_2!$L$172</f>
        <v/>
      </c>
      <c r="I160" s="24" t="n">
        <f aca="false">IF(Scheda_2!$D$145="Sì",1,0)</f>
        <v>0</v>
      </c>
    </row>
    <row r="161" customFormat="false" ht="15" hidden="false" customHeight="false" outlineLevel="0" collapsed="false">
      <c r="A161" s="16" t="s">
        <v>512</v>
      </c>
      <c r="B161" s="16" t="s">
        <v>465</v>
      </c>
      <c r="C161" s="5" t="s">
        <v>513</v>
      </c>
      <c r="D161" s="21"/>
      <c r="E161" s="16"/>
      <c r="F161" s="18" t="s">
        <v>507</v>
      </c>
      <c r="G161" s="18" t="s">
        <v>514</v>
      </c>
      <c r="H161" s="19" t="str">
        <f aca="false">Controlli_2!$L$173</f>
        <v/>
      </c>
      <c r="I161" s="24" t="n">
        <f aca="false">IF(Scheda_2!$D$145="Sì",1,0)</f>
        <v>0</v>
      </c>
    </row>
    <row r="162" customFormat="false" ht="15" hidden="false" customHeight="false" outlineLevel="0" collapsed="false">
      <c r="A162" s="16" t="s">
        <v>515</v>
      </c>
      <c r="B162" s="16" t="s">
        <v>465</v>
      </c>
      <c r="C162" s="5" t="s">
        <v>516</v>
      </c>
      <c r="D162" s="21"/>
      <c r="E162" s="16"/>
      <c r="F162" s="18" t="s">
        <v>507</v>
      </c>
      <c r="G162" s="18" t="s">
        <v>517</v>
      </c>
      <c r="H162" s="19" t="str">
        <f aca="false">Controlli_2!$L$174</f>
        <v/>
      </c>
      <c r="I162" s="24" t="n">
        <f aca="false">IF(Scheda_2!$D$145="Sì",1,0)</f>
        <v>0</v>
      </c>
    </row>
    <row r="163" customFormat="false" ht="25.35" hidden="false" customHeight="false" outlineLevel="0" collapsed="false">
      <c r="A163" s="16" t="s">
        <v>518</v>
      </c>
      <c r="B163" s="16" t="s">
        <v>465</v>
      </c>
      <c r="C163" s="5" t="s">
        <v>519</v>
      </c>
      <c r="D163" s="21"/>
      <c r="E163" s="16"/>
      <c r="F163" s="18" t="s">
        <v>507</v>
      </c>
      <c r="G163" s="18" t="s">
        <v>520</v>
      </c>
      <c r="H163" s="19" t="str">
        <f aca="false">Controlli_2!$L$175</f>
        <v/>
      </c>
      <c r="I163" s="24" t="n">
        <f aca="false">IF(Scheda_2!$D$145="Sì",1,0)</f>
        <v>0</v>
      </c>
    </row>
    <row r="164" customFormat="false" ht="15" hidden="false" customHeight="false" outlineLevel="0" collapsed="false">
      <c r="A164" s="16" t="s">
        <v>521</v>
      </c>
      <c r="B164" s="16" t="s">
        <v>465</v>
      </c>
      <c r="C164" s="5" t="s">
        <v>522</v>
      </c>
      <c r="D164" s="21"/>
      <c r="E164" s="16"/>
      <c r="F164" s="18" t="s">
        <v>507</v>
      </c>
      <c r="G164" s="18" t="s">
        <v>520</v>
      </c>
      <c r="H164" s="19" t="str">
        <f aca="false">Controlli_2!$L$176</f>
        <v/>
      </c>
      <c r="I164" s="24" t="n">
        <f aca="false">IF(Scheda_2!$D$145="Sì",1,0)</f>
        <v>0</v>
      </c>
    </row>
    <row r="165" customFormat="false" ht="15" hidden="false" customHeight="false" outlineLevel="0" collapsed="false">
      <c r="A165" s="16" t="s">
        <v>523</v>
      </c>
      <c r="B165" s="16" t="s">
        <v>465</v>
      </c>
      <c r="C165" s="5" t="s">
        <v>524</v>
      </c>
      <c r="D165" s="21"/>
      <c r="E165" s="16"/>
      <c r="F165" s="18" t="s">
        <v>507</v>
      </c>
      <c r="G165" s="18" t="s">
        <v>525</v>
      </c>
      <c r="H165" s="19" t="str">
        <f aca="false">Controlli_2!$L$177</f>
        <v/>
      </c>
      <c r="I165" s="24" t="n">
        <f aca="false">IF(Scheda_2!$D$145="Sì",1,0)</f>
        <v>0</v>
      </c>
    </row>
    <row r="166" customFormat="false" ht="15" hidden="false" customHeight="false" outlineLevel="0" collapsed="false">
      <c r="A166" s="16" t="s">
        <v>526</v>
      </c>
      <c r="B166" s="16" t="s">
        <v>465</v>
      </c>
      <c r="C166" s="5" t="s">
        <v>527</v>
      </c>
      <c r="D166" s="21"/>
      <c r="E166" s="16"/>
      <c r="F166" s="18" t="s">
        <v>507</v>
      </c>
      <c r="G166" s="18" t="s">
        <v>520</v>
      </c>
      <c r="H166" s="19" t="str">
        <f aca="false">Controlli_2!$L$178</f>
        <v/>
      </c>
      <c r="I166" s="24" t="n">
        <f aca="false">IF(Scheda_2!$D$145="Sì",1,0)</f>
        <v>0</v>
      </c>
    </row>
    <row r="167" customFormat="false" ht="25.35" hidden="false" customHeight="false" outlineLevel="0" collapsed="false">
      <c r="A167" s="16" t="s">
        <v>528</v>
      </c>
      <c r="B167" s="16" t="s">
        <v>465</v>
      </c>
      <c r="C167" s="5" t="s">
        <v>529</v>
      </c>
      <c r="D167" s="21"/>
      <c r="E167" s="16"/>
      <c r="F167" s="18" t="s">
        <v>507</v>
      </c>
      <c r="G167" s="18" t="s">
        <v>520</v>
      </c>
      <c r="H167" s="19" t="str">
        <f aca="false">Controlli_2!$L$179</f>
        <v/>
      </c>
      <c r="I167" s="24" t="n">
        <f aca="false">IF(Scheda_2!$D$145="Sì",1,0)</f>
        <v>0</v>
      </c>
    </row>
    <row r="168" customFormat="false" ht="25.35" hidden="false" customHeight="false" outlineLevel="0" collapsed="false">
      <c r="A168" s="16" t="s">
        <v>530</v>
      </c>
      <c r="B168" s="16" t="s">
        <v>465</v>
      </c>
      <c r="C168" s="5" t="s">
        <v>531</v>
      </c>
      <c r="D168" s="21"/>
      <c r="E168" s="16"/>
      <c r="F168" s="18" t="s">
        <v>532</v>
      </c>
      <c r="G168" s="18" t="s">
        <v>533</v>
      </c>
      <c r="H168" s="19" t="str">
        <f aca="false">Controlli_2!$L$180</f>
        <v/>
      </c>
      <c r="I168" s="24" t="n">
        <f aca="false">IF(Scheda_2!$D$145="Sì",1,0)</f>
        <v>0</v>
      </c>
    </row>
    <row r="169" customFormat="false" ht="23.85" hidden="false" customHeight="false" outlineLevel="0" collapsed="false">
      <c r="A169" s="16" t="s">
        <v>534</v>
      </c>
      <c r="B169" s="16" t="s">
        <v>465</v>
      </c>
      <c r="C169" s="5" t="s">
        <v>535</v>
      </c>
      <c r="D169" s="21"/>
      <c r="E169" s="16"/>
      <c r="F169" s="18" t="s">
        <v>532</v>
      </c>
      <c r="G169" s="18" t="s">
        <v>536</v>
      </c>
      <c r="H169" s="19" t="str">
        <f aca="false">Controlli_2!$L$181</f>
        <v/>
      </c>
      <c r="I169" s="24" t="n">
        <f aca="false">IF(Scheda_2!$D$145="Sì",1,0)</f>
        <v>0</v>
      </c>
    </row>
    <row r="170" customFormat="false" ht="19.5" hidden="false" customHeight="true" outlineLevel="0" collapsed="false">
      <c r="A170" s="14" t="s">
        <v>537</v>
      </c>
      <c r="B170" s="14"/>
      <c r="C170" s="14"/>
      <c r="D170" s="14"/>
      <c r="E170" s="14"/>
      <c r="F170" s="14"/>
      <c r="G170" s="14"/>
      <c r="H170" s="14"/>
    </row>
    <row r="171" customFormat="false" ht="15" hidden="false" customHeight="false" outlineLevel="0" collapsed="false">
      <c r="A171" s="16" t="s">
        <v>538</v>
      </c>
      <c r="B171" s="16" t="s">
        <v>539</v>
      </c>
      <c r="C171" s="20" t="s">
        <v>540</v>
      </c>
      <c r="D171" s="21" t="s">
        <v>125</v>
      </c>
      <c r="E171" s="16"/>
      <c r="F171" s="18" t="s">
        <v>75</v>
      </c>
      <c r="G171" s="18" t="s">
        <v>467</v>
      </c>
      <c r="H171" s="19" t="str">
        <f aca="false">Controlli_2!$L$182</f>
        <v>ok</v>
      </c>
      <c r="I171" s="0" t="n">
        <v>1</v>
      </c>
    </row>
    <row r="172" customFormat="false" ht="15" hidden="false" customHeight="false" outlineLevel="0" collapsed="false">
      <c r="A172" s="16" t="s">
        <v>541</v>
      </c>
      <c r="B172" s="16" t="s">
        <v>539</v>
      </c>
      <c r="C172" s="5" t="s">
        <v>542</v>
      </c>
      <c r="D172" s="21"/>
      <c r="E172" s="16"/>
      <c r="F172" s="18" t="s">
        <v>75</v>
      </c>
      <c r="G172" s="18" t="s">
        <v>543</v>
      </c>
      <c r="H172" s="19" t="str">
        <f aca="false">Controlli_2!$L$183</f>
        <v/>
      </c>
      <c r="I172" s="24" t="n">
        <f aca="false">IF(Scheda_2!$D$171="Sì",1,0)</f>
        <v>0</v>
      </c>
    </row>
    <row r="173" customFormat="false" ht="15" hidden="false" customHeight="false" outlineLevel="0" collapsed="false">
      <c r="A173" s="16" t="s">
        <v>544</v>
      </c>
      <c r="B173" s="16" t="s">
        <v>539</v>
      </c>
      <c r="C173" s="5" t="s">
        <v>545</v>
      </c>
      <c r="D173" s="21"/>
      <c r="E173" s="16"/>
      <c r="F173" s="18" t="s">
        <v>89</v>
      </c>
      <c r="G173" s="18" t="s">
        <v>546</v>
      </c>
      <c r="H173" s="19" t="str">
        <f aca="false">Controlli_2!$L$184</f>
        <v/>
      </c>
      <c r="I173" s="24" t="n">
        <f aca="false">IF(Scheda_2!$D$171="Sì",1,0)</f>
        <v>0</v>
      </c>
    </row>
    <row r="174" customFormat="false" ht="15" hidden="false" customHeight="false" outlineLevel="0" collapsed="false">
      <c r="A174" s="16" t="s">
        <v>547</v>
      </c>
      <c r="B174" s="16" t="s">
        <v>539</v>
      </c>
      <c r="C174" s="5" t="s">
        <v>548</v>
      </c>
      <c r="D174" s="21"/>
      <c r="E174" s="16"/>
      <c r="F174" s="18" t="s">
        <v>89</v>
      </c>
      <c r="G174" s="18" t="s">
        <v>549</v>
      </c>
      <c r="H174" s="19" t="str">
        <f aca="false">Controlli_2!$L$185</f>
        <v/>
      </c>
      <c r="I174" s="24" t="n">
        <f aca="false">IF(Scheda_2!$D$171="Sì",1,0)</f>
        <v>0</v>
      </c>
    </row>
    <row r="175" customFormat="false" ht="23.85" hidden="false" customHeight="false" outlineLevel="0" collapsed="false">
      <c r="A175" s="16" t="s">
        <v>550</v>
      </c>
      <c r="B175" s="16" t="s">
        <v>539</v>
      </c>
      <c r="C175" s="5" t="s">
        <v>551</v>
      </c>
      <c r="D175" s="21"/>
      <c r="E175" s="16" t="s">
        <v>234</v>
      </c>
      <c r="F175" s="18" t="s">
        <v>552</v>
      </c>
      <c r="G175" s="18" t="s">
        <v>553</v>
      </c>
      <c r="H175" s="19" t="str">
        <f aca="false">Controlli_2!$L$186</f>
        <v/>
      </c>
      <c r="I175" s="24" t="n">
        <f aca="false">IF(Scheda_2!$D$171="Sì",1,0)</f>
        <v>0</v>
      </c>
    </row>
    <row r="176" customFormat="false" ht="23.85" hidden="false" customHeight="false" outlineLevel="0" collapsed="false">
      <c r="A176" s="16" t="s">
        <v>554</v>
      </c>
      <c r="B176" s="16" t="s">
        <v>539</v>
      </c>
      <c r="C176" s="5" t="s">
        <v>555</v>
      </c>
      <c r="D176" s="21"/>
      <c r="E176" s="16" t="s">
        <v>140</v>
      </c>
      <c r="F176" s="18" t="s">
        <v>552</v>
      </c>
      <c r="G176" s="18" t="s">
        <v>556</v>
      </c>
      <c r="H176" s="19" t="str">
        <f aca="false">Controlli_2!$L$187</f>
        <v/>
      </c>
      <c r="I176" s="24" t="n">
        <f aca="false">IF(Scheda_2!$D$171="Sì",1,0)</f>
        <v>0</v>
      </c>
    </row>
    <row r="177" customFormat="false" ht="23.85" hidden="false" customHeight="false" outlineLevel="0" collapsed="false">
      <c r="A177" s="16" t="s">
        <v>557</v>
      </c>
      <c r="B177" s="16" t="s">
        <v>539</v>
      </c>
      <c r="C177" s="5" t="s">
        <v>558</v>
      </c>
      <c r="D177" s="21"/>
      <c r="E177" s="16" t="s">
        <v>140</v>
      </c>
      <c r="F177" s="18" t="s">
        <v>559</v>
      </c>
      <c r="G177" s="18" t="s">
        <v>556</v>
      </c>
      <c r="H177" s="19" t="str">
        <f aca="false">Controlli_2!$L$188</f>
        <v/>
      </c>
      <c r="I177" s="24" t="n">
        <f aca="false">IF(Scheda_2!$D$171="Sì",1,0)</f>
        <v>0</v>
      </c>
    </row>
    <row r="178" customFormat="false" ht="23.85" hidden="false" customHeight="false" outlineLevel="0" collapsed="false">
      <c r="A178" s="16" t="s">
        <v>560</v>
      </c>
      <c r="B178" s="16" t="s">
        <v>539</v>
      </c>
      <c r="C178" s="5" t="s">
        <v>561</v>
      </c>
      <c r="D178" s="21"/>
      <c r="E178" s="16"/>
      <c r="F178" s="18" t="s">
        <v>559</v>
      </c>
      <c r="G178" s="18" t="s">
        <v>556</v>
      </c>
      <c r="H178" s="19" t="str">
        <f aca="false">Controlli_2!$L$189</f>
        <v/>
      </c>
      <c r="I178" s="24" t="n">
        <f aca="false">IF(Scheda_2!$D$171="Sì",1,0)</f>
        <v>0</v>
      </c>
    </row>
    <row r="179" customFormat="false" ht="23.85" hidden="false" customHeight="false" outlineLevel="0" collapsed="false">
      <c r="A179" s="16" t="s">
        <v>562</v>
      </c>
      <c r="B179" s="16" t="s">
        <v>539</v>
      </c>
      <c r="C179" s="5" t="s">
        <v>563</v>
      </c>
      <c r="D179" s="22"/>
      <c r="E179" s="16"/>
      <c r="F179" s="18" t="s">
        <v>564</v>
      </c>
      <c r="G179" s="18" t="s">
        <v>565</v>
      </c>
      <c r="H179" s="19" t="str">
        <f aca="false">Controlli_2!$L$190</f>
        <v/>
      </c>
      <c r="I179" s="24" t="n">
        <f aca="false">IF(Scheda_2!$D$171="Sì",1,0)</f>
        <v>0</v>
      </c>
    </row>
    <row r="180" customFormat="false" ht="23.85" hidden="false" customHeight="false" outlineLevel="0" collapsed="false">
      <c r="A180" s="16" t="s">
        <v>566</v>
      </c>
      <c r="B180" s="16" t="s">
        <v>539</v>
      </c>
      <c r="C180" s="5" t="s">
        <v>567</v>
      </c>
      <c r="D180" s="21"/>
      <c r="E180" s="16"/>
      <c r="F180" s="18" t="s">
        <v>564</v>
      </c>
      <c r="G180" s="18" t="s">
        <v>568</v>
      </c>
      <c r="H180" s="19" t="str">
        <f aca="false">Controlli_2!$L$191</f>
        <v/>
      </c>
      <c r="I180" s="24" t="n">
        <f aca="false">IF(Scheda_2!$D$171="Sì",1,0)</f>
        <v>0</v>
      </c>
    </row>
    <row r="181" customFormat="false" ht="23.85" hidden="false" customHeight="false" outlineLevel="0" collapsed="false">
      <c r="A181" s="16" t="s">
        <v>569</v>
      </c>
      <c r="B181" s="16" t="s">
        <v>539</v>
      </c>
      <c r="C181" s="5" t="s">
        <v>570</v>
      </c>
      <c r="D181" s="21"/>
      <c r="E181" s="16"/>
      <c r="F181" s="18" t="s">
        <v>564</v>
      </c>
      <c r="G181" s="18" t="s">
        <v>571</v>
      </c>
      <c r="H181" s="19" t="str">
        <f aca="false">Controlli_2!$L$192</f>
        <v/>
      </c>
      <c r="I181" s="24" t="n">
        <f aca="false">IF(Scheda_2!$D$171="Sì",1,0)</f>
        <v>0</v>
      </c>
    </row>
    <row r="182" customFormat="false" ht="23.85" hidden="false" customHeight="false" outlineLevel="0" collapsed="false">
      <c r="A182" s="16" t="s">
        <v>572</v>
      </c>
      <c r="B182" s="16" t="s">
        <v>539</v>
      </c>
      <c r="C182" s="5" t="s">
        <v>573</v>
      </c>
      <c r="D182" s="21"/>
      <c r="E182" s="16"/>
      <c r="F182" s="18" t="s">
        <v>564</v>
      </c>
      <c r="G182" s="18" t="s">
        <v>574</v>
      </c>
      <c r="H182" s="19" t="str">
        <f aca="false">Controlli_2!$L$193</f>
        <v/>
      </c>
      <c r="I182" s="24" t="n">
        <f aca="false">IF(Scheda_2!$D$171="Sì",1,0)</f>
        <v>0</v>
      </c>
    </row>
    <row r="183" customFormat="false" ht="23.85" hidden="false" customHeight="false" outlineLevel="0" collapsed="false">
      <c r="A183" s="16" t="s">
        <v>575</v>
      </c>
      <c r="B183" s="16" t="s">
        <v>539</v>
      </c>
      <c r="C183" s="5" t="s">
        <v>576</v>
      </c>
      <c r="D183" s="21"/>
      <c r="E183" s="16"/>
      <c r="F183" s="18" t="s">
        <v>564</v>
      </c>
      <c r="G183" s="18" t="s">
        <v>568</v>
      </c>
      <c r="H183" s="19" t="str">
        <f aca="false">Controlli_2!$L$194</f>
        <v/>
      </c>
      <c r="I183" s="24" t="n">
        <f aca="false">IF(Scheda_2!$D$171="Sì",1,0)</f>
        <v>0</v>
      </c>
    </row>
    <row r="184" customFormat="false" ht="23.85" hidden="false" customHeight="false" outlineLevel="0" collapsed="false">
      <c r="A184" s="16" t="s">
        <v>577</v>
      </c>
      <c r="B184" s="16" t="s">
        <v>539</v>
      </c>
      <c r="C184" s="5" t="s">
        <v>578</v>
      </c>
      <c r="D184" s="21"/>
      <c r="E184" s="16"/>
      <c r="F184" s="18" t="s">
        <v>564</v>
      </c>
      <c r="G184" s="18" t="s">
        <v>579</v>
      </c>
      <c r="H184" s="19" t="str">
        <f aca="false">Controlli_2!$L$195</f>
        <v/>
      </c>
      <c r="I184" s="24" t="n">
        <f aca="false">IF(Scheda_2!$D$171="Sì",1,0)</f>
        <v>0</v>
      </c>
    </row>
    <row r="185" customFormat="false" ht="23.85" hidden="false" customHeight="false" outlineLevel="0" collapsed="false">
      <c r="A185" s="16" t="s">
        <v>580</v>
      </c>
      <c r="B185" s="16" t="s">
        <v>539</v>
      </c>
      <c r="C185" s="5" t="s">
        <v>581</v>
      </c>
      <c r="D185" s="21"/>
      <c r="E185" s="16" t="s">
        <v>140</v>
      </c>
      <c r="F185" s="18" t="s">
        <v>564</v>
      </c>
      <c r="G185" s="18" t="s">
        <v>582</v>
      </c>
      <c r="H185" s="19" t="str">
        <f aca="false">Controlli_2!$L$196</f>
        <v/>
      </c>
      <c r="I185" s="24" t="n">
        <f aca="false">IF(Scheda_2!$D$171="Sì",1,0)</f>
        <v>0</v>
      </c>
    </row>
    <row r="186" customFormat="false" ht="23.85" hidden="false" customHeight="false" outlineLevel="0" collapsed="false">
      <c r="A186" s="16" t="s">
        <v>583</v>
      </c>
      <c r="B186" s="16" t="s">
        <v>539</v>
      </c>
      <c r="C186" s="5" t="s">
        <v>584</v>
      </c>
      <c r="D186" s="21"/>
      <c r="E186" s="16" t="s">
        <v>140</v>
      </c>
      <c r="F186" s="18" t="s">
        <v>564</v>
      </c>
      <c r="G186" s="18" t="s">
        <v>574</v>
      </c>
      <c r="H186" s="19" t="str">
        <f aca="false">Controlli_2!$L$197</f>
        <v/>
      </c>
      <c r="I186" s="24" t="n">
        <f aca="false">IF(Scheda_2!$D$171="Sì",1,0)</f>
        <v>0</v>
      </c>
    </row>
    <row r="187" customFormat="false" ht="23.85" hidden="false" customHeight="false" outlineLevel="0" collapsed="false">
      <c r="A187" s="16" t="s">
        <v>585</v>
      </c>
      <c r="B187" s="16" t="s">
        <v>539</v>
      </c>
      <c r="C187" s="5" t="s">
        <v>586</v>
      </c>
      <c r="D187" s="21"/>
      <c r="E187" s="16" t="s">
        <v>140</v>
      </c>
      <c r="F187" s="18" t="s">
        <v>564</v>
      </c>
      <c r="G187" s="18" t="s">
        <v>574</v>
      </c>
      <c r="H187" s="19" t="str">
        <f aca="false">Controlli_2!$L$198</f>
        <v/>
      </c>
      <c r="I187" s="24" t="n">
        <f aca="false">IF(Scheda_2!$D$171="Sì",1,0)</f>
        <v>0</v>
      </c>
    </row>
    <row r="188" customFormat="false" ht="23.85" hidden="false" customHeight="false" outlineLevel="0" collapsed="false">
      <c r="A188" s="16" t="s">
        <v>587</v>
      </c>
      <c r="B188" s="16" t="s">
        <v>539</v>
      </c>
      <c r="C188" s="5" t="s">
        <v>588</v>
      </c>
      <c r="D188" s="21"/>
      <c r="E188" s="16" t="s">
        <v>140</v>
      </c>
      <c r="F188" s="18" t="s">
        <v>564</v>
      </c>
      <c r="G188" s="18" t="s">
        <v>574</v>
      </c>
      <c r="H188" s="19" t="str">
        <f aca="false">Controlli_2!$L$199</f>
        <v/>
      </c>
      <c r="I188" s="24" t="n">
        <f aca="false">IF(Scheda_2!$D$171="Sì",1,0)</f>
        <v>0</v>
      </c>
    </row>
    <row r="189" customFormat="false" ht="23.85" hidden="false" customHeight="false" outlineLevel="0" collapsed="false">
      <c r="A189" s="16" t="s">
        <v>589</v>
      </c>
      <c r="B189" s="16" t="s">
        <v>539</v>
      </c>
      <c r="C189" s="5" t="s">
        <v>590</v>
      </c>
      <c r="D189" s="21"/>
      <c r="E189" s="16"/>
      <c r="F189" s="18" t="s">
        <v>591</v>
      </c>
      <c r="G189" s="18" t="s">
        <v>592</v>
      </c>
      <c r="H189" s="19" t="str">
        <f aca="false">Controlli_2!$L$200</f>
        <v/>
      </c>
      <c r="I189" s="24" t="n">
        <f aca="false">IF(Scheda_2!$D$171="Sì",1,0)</f>
        <v>0</v>
      </c>
    </row>
    <row r="190" customFormat="false" ht="25.35" hidden="false" customHeight="false" outlineLevel="0" collapsed="false">
      <c r="A190" s="16" t="s">
        <v>593</v>
      </c>
      <c r="B190" s="16" t="s">
        <v>539</v>
      </c>
      <c r="C190" s="5" t="s">
        <v>594</v>
      </c>
      <c r="D190" s="21"/>
      <c r="E190" s="16" t="s">
        <v>310</v>
      </c>
      <c r="F190" s="18" t="s">
        <v>591</v>
      </c>
      <c r="G190" s="18" t="s">
        <v>595</v>
      </c>
      <c r="H190" s="19" t="str">
        <f aca="false">Controlli_2!$L$201</f>
        <v/>
      </c>
      <c r="I190" s="24" t="n">
        <f aca="false">IF(Scheda_2!$D$171="Sì",1,0)</f>
        <v>0</v>
      </c>
    </row>
    <row r="191" customFormat="false" ht="19.5" hidden="false" customHeight="true" outlineLevel="0" collapsed="false">
      <c r="A191" s="14" t="s">
        <v>596</v>
      </c>
      <c r="B191" s="14"/>
      <c r="C191" s="14"/>
      <c r="D191" s="14"/>
      <c r="E191" s="14"/>
      <c r="F191" s="14"/>
      <c r="G191" s="14"/>
      <c r="H191" s="14"/>
    </row>
    <row r="192" customFormat="false" ht="15" hidden="false" customHeight="false" outlineLevel="0" collapsed="false">
      <c r="A192" s="15" t="s">
        <v>597</v>
      </c>
      <c r="B192" s="15"/>
      <c r="C192" s="15"/>
      <c r="D192" s="15"/>
      <c r="E192" s="15"/>
      <c r="F192" s="15"/>
      <c r="G192" s="15"/>
      <c r="H192" s="15"/>
    </row>
    <row r="193" customFormat="false" ht="15" hidden="false" customHeight="false" outlineLevel="0" collapsed="false">
      <c r="A193" s="16" t="s">
        <v>598</v>
      </c>
      <c r="B193" s="16" t="s">
        <v>599</v>
      </c>
      <c r="C193" s="20" t="s">
        <v>600</v>
      </c>
      <c r="D193" s="21" t="s">
        <v>125</v>
      </c>
      <c r="E193" s="16"/>
      <c r="F193" s="18" t="s">
        <v>75</v>
      </c>
      <c r="G193" s="18" t="s">
        <v>467</v>
      </c>
      <c r="H193" s="19" t="str">
        <f aca="false">Controlli_2!$L$202</f>
        <v>ok</v>
      </c>
      <c r="I193" s="0" t="n">
        <v>1</v>
      </c>
    </row>
    <row r="194" customFormat="false" ht="15" hidden="false" customHeight="false" outlineLevel="0" collapsed="false">
      <c r="A194" s="16" t="s">
        <v>601</v>
      </c>
      <c r="B194" s="16" t="s">
        <v>599</v>
      </c>
      <c r="C194" s="5" t="s">
        <v>602</v>
      </c>
      <c r="D194" s="21"/>
      <c r="E194" s="16"/>
      <c r="F194" s="18" t="s">
        <v>89</v>
      </c>
      <c r="G194" s="18" t="s">
        <v>603</v>
      </c>
      <c r="H194" s="19" t="str">
        <f aca="false">Controlli_2!$L$203</f>
        <v/>
      </c>
      <c r="I194" s="24" t="n">
        <f aca="false">IF(Scheda_2!$D$193="Sì",1,0)</f>
        <v>0</v>
      </c>
    </row>
    <row r="195" customFormat="false" ht="23.85" hidden="false" customHeight="false" outlineLevel="0" collapsed="false">
      <c r="A195" s="16" t="s">
        <v>604</v>
      </c>
      <c r="B195" s="16" t="s">
        <v>599</v>
      </c>
      <c r="C195" s="5" t="s">
        <v>605</v>
      </c>
      <c r="D195" s="21"/>
      <c r="E195" s="16"/>
      <c r="F195" s="18" t="s">
        <v>606</v>
      </c>
      <c r="G195" s="18" t="s">
        <v>603</v>
      </c>
      <c r="H195" s="19" t="str">
        <f aca="false">Controlli_2!$L$204</f>
        <v/>
      </c>
      <c r="I195" s="24" t="n">
        <f aca="false">IF(Scheda_2!$D$193="Sì",1,0)</f>
        <v>0</v>
      </c>
    </row>
    <row r="196" customFormat="false" ht="15" hidden="false" customHeight="false" outlineLevel="0" collapsed="false">
      <c r="A196" s="16" t="s">
        <v>607</v>
      </c>
      <c r="B196" s="16" t="s">
        <v>599</v>
      </c>
      <c r="C196" s="5" t="s">
        <v>608</v>
      </c>
      <c r="D196" s="21"/>
      <c r="E196" s="16" t="s">
        <v>239</v>
      </c>
      <c r="F196" s="18" t="s">
        <v>89</v>
      </c>
      <c r="G196" s="18" t="s">
        <v>609</v>
      </c>
      <c r="H196" s="19" t="str">
        <f aca="false">Controlli_2!$L$205</f>
        <v/>
      </c>
      <c r="I196" s="24" t="n">
        <f aca="false">IF(Scheda_2!$D$193="Sì",1,0)</f>
        <v>0</v>
      </c>
    </row>
    <row r="197" customFormat="false" ht="15" hidden="false" customHeight="false" outlineLevel="0" collapsed="false">
      <c r="A197" s="16" t="s">
        <v>610</v>
      </c>
      <c r="B197" s="16" t="s">
        <v>599</v>
      </c>
      <c r="C197" s="5" t="s">
        <v>611</v>
      </c>
      <c r="D197" s="21"/>
      <c r="E197" s="16" t="s">
        <v>234</v>
      </c>
      <c r="F197" s="18" t="s">
        <v>89</v>
      </c>
      <c r="G197" s="18" t="s">
        <v>612</v>
      </c>
      <c r="H197" s="19" t="str">
        <f aca="false">Controlli_2!$L$206</f>
        <v/>
      </c>
      <c r="I197" s="24" t="n">
        <f aca="false">IF(Scheda_2!$D$193="Sì",1,0)</f>
        <v>0</v>
      </c>
    </row>
    <row r="198" customFormat="false" ht="15" hidden="false" customHeight="false" outlineLevel="0" collapsed="false">
      <c r="A198" s="16" t="s">
        <v>613</v>
      </c>
      <c r="B198" s="16" t="s">
        <v>599</v>
      </c>
      <c r="C198" s="5" t="s">
        <v>614</v>
      </c>
      <c r="D198" s="21"/>
      <c r="E198" s="16" t="s">
        <v>234</v>
      </c>
      <c r="F198" s="18" t="s">
        <v>89</v>
      </c>
      <c r="G198" s="18" t="s">
        <v>612</v>
      </c>
      <c r="H198" s="19" t="str">
        <f aca="false">Controlli_2!$L$207</f>
        <v/>
      </c>
      <c r="I198" s="24" t="n">
        <f aca="false">IF(Scheda_2!$D$193="Sì",1,0)</f>
        <v>0</v>
      </c>
    </row>
    <row r="199" customFormat="false" ht="15" hidden="false" customHeight="false" outlineLevel="0" collapsed="false">
      <c r="A199" s="16" t="s">
        <v>615</v>
      </c>
      <c r="B199" s="16" t="s">
        <v>599</v>
      </c>
      <c r="C199" s="5" t="s">
        <v>616</v>
      </c>
      <c r="D199" s="21"/>
      <c r="E199" s="16" t="s">
        <v>617</v>
      </c>
      <c r="F199" s="18" t="s">
        <v>89</v>
      </c>
      <c r="G199" s="18" t="s">
        <v>618</v>
      </c>
      <c r="H199" s="19" t="str">
        <f aca="false">Controlli_2!$L$208</f>
        <v/>
      </c>
      <c r="I199" s="24" t="n">
        <f aca="false">IF(Scheda_2!$D$193="Sì",1,0)</f>
        <v>0</v>
      </c>
    </row>
    <row r="200" customFormat="false" ht="23.85" hidden="false" customHeight="false" outlineLevel="0" collapsed="false">
      <c r="A200" s="16" t="s">
        <v>619</v>
      </c>
      <c r="B200" s="16" t="s">
        <v>599</v>
      </c>
      <c r="C200" s="5" t="s">
        <v>620</v>
      </c>
      <c r="D200" s="21"/>
      <c r="E200" s="16" t="s">
        <v>293</v>
      </c>
      <c r="F200" s="18" t="s">
        <v>621</v>
      </c>
      <c r="G200" s="18" t="s">
        <v>622</v>
      </c>
      <c r="H200" s="19" t="str">
        <f aca="false">Controlli_2!$L$209</f>
        <v/>
      </c>
      <c r="I200" s="24" t="n">
        <f aca="false">IF(Scheda_2!$D$193="Sì",1,0)</f>
        <v>0</v>
      </c>
    </row>
    <row r="201" customFormat="false" ht="23.85" hidden="false" customHeight="false" outlineLevel="0" collapsed="false">
      <c r="A201" s="16" t="s">
        <v>623</v>
      </c>
      <c r="B201" s="16" t="s">
        <v>599</v>
      </c>
      <c r="C201" s="5" t="s">
        <v>624</v>
      </c>
      <c r="D201" s="21"/>
      <c r="E201" s="16" t="s">
        <v>234</v>
      </c>
      <c r="F201" s="18" t="s">
        <v>621</v>
      </c>
      <c r="G201" s="18" t="s">
        <v>625</v>
      </c>
      <c r="H201" s="19" t="str">
        <f aca="false">Controlli_2!$L$210</f>
        <v/>
      </c>
      <c r="I201" s="24" t="n">
        <f aca="false">IF(Scheda_2!$D$193="Sì",1,0)</f>
        <v>0</v>
      </c>
    </row>
    <row r="202" customFormat="false" ht="23.85" hidden="false" customHeight="false" outlineLevel="0" collapsed="false">
      <c r="A202" s="16" t="s">
        <v>626</v>
      </c>
      <c r="B202" s="16" t="s">
        <v>599</v>
      </c>
      <c r="C202" s="5" t="s">
        <v>627</v>
      </c>
      <c r="D202" s="21"/>
      <c r="E202" s="16" t="s">
        <v>234</v>
      </c>
      <c r="F202" s="18" t="s">
        <v>621</v>
      </c>
      <c r="G202" s="18" t="s">
        <v>625</v>
      </c>
      <c r="H202" s="19" t="str">
        <f aca="false">Controlli_2!$L$211</f>
        <v/>
      </c>
      <c r="I202" s="24" t="n">
        <f aca="false">IF(Scheda_2!$D$193="Sì",1,0)</f>
        <v>0</v>
      </c>
    </row>
    <row r="203" customFormat="false" ht="23.85" hidden="false" customHeight="false" outlineLevel="0" collapsed="false">
      <c r="A203" s="16" t="s">
        <v>628</v>
      </c>
      <c r="B203" s="16" t="s">
        <v>599</v>
      </c>
      <c r="C203" s="5" t="s">
        <v>629</v>
      </c>
      <c r="D203" s="21"/>
      <c r="E203" s="16" t="s">
        <v>234</v>
      </c>
      <c r="F203" s="18" t="s">
        <v>621</v>
      </c>
      <c r="G203" s="18" t="s">
        <v>625</v>
      </c>
      <c r="H203" s="19" t="str">
        <f aca="false">Controlli_2!$L$212</f>
        <v/>
      </c>
      <c r="I203" s="24" t="n">
        <f aca="false">IF(Scheda_2!$D$193="Sì",1,0)</f>
        <v>0</v>
      </c>
    </row>
    <row r="204" customFormat="false" ht="23.85" hidden="false" customHeight="false" outlineLevel="0" collapsed="false">
      <c r="A204" s="16" t="s">
        <v>630</v>
      </c>
      <c r="B204" s="16" t="s">
        <v>599</v>
      </c>
      <c r="C204" s="5" t="s">
        <v>631</v>
      </c>
      <c r="D204" s="21"/>
      <c r="E204" s="16"/>
      <c r="F204" s="18" t="s">
        <v>621</v>
      </c>
      <c r="G204" s="18" t="s">
        <v>625</v>
      </c>
      <c r="H204" s="19" t="str">
        <f aca="false">Controlli_2!$L$213</f>
        <v/>
      </c>
      <c r="I204" s="24" t="n">
        <f aca="false">IF(Scheda_2!$D$193="Sì",1,0)</f>
        <v>0</v>
      </c>
    </row>
    <row r="205" customFormat="false" ht="19.5" hidden="false" customHeight="true" outlineLevel="0" collapsed="false">
      <c r="A205" s="14" t="s">
        <v>632</v>
      </c>
      <c r="B205" s="14"/>
      <c r="C205" s="14"/>
      <c r="D205" s="14"/>
      <c r="E205" s="14"/>
      <c r="F205" s="14"/>
      <c r="G205" s="14"/>
      <c r="H205" s="14"/>
    </row>
    <row r="206" customFormat="false" ht="15" hidden="false" customHeight="false" outlineLevel="0" collapsed="false">
      <c r="A206" s="16" t="s">
        <v>633</v>
      </c>
      <c r="B206" s="16" t="s">
        <v>634</v>
      </c>
      <c r="C206" s="20" t="s">
        <v>635</v>
      </c>
      <c r="D206" s="21" t="s">
        <v>125</v>
      </c>
      <c r="E206" s="16"/>
      <c r="F206" s="18" t="s">
        <v>75</v>
      </c>
      <c r="G206" s="18" t="s">
        <v>467</v>
      </c>
      <c r="H206" s="19" t="str">
        <f aca="false">Controlli_2!$L$214</f>
        <v>ok</v>
      </c>
      <c r="I206" s="0" t="n">
        <v>1</v>
      </c>
    </row>
    <row r="207" customFormat="false" ht="23.85" hidden="false" customHeight="false" outlineLevel="0" collapsed="false">
      <c r="A207" s="16" t="s">
        <v>636</v>
      </c>
      <c r="B207" s="16" t="s">
        <v>634</v>
      </c>
      <c r="C207" s="5" t="s">
        <v>637</v>
      </c>
      <c r="D207" s="21"/>
      <c r="E207" s="16"/>
      <c r="F207" s="18" t="s">
        <v>89</v>
      </c>
      <c r="G207" s="18" t="s">
        <v>638</v>
      </c>
      <c r="H207" s="19" t="str">
        <f aca="false">Controlli_2!$L$215</f>
        <v/>
      </c>
      <c r="I207" s="24" t="n">
        <f aca="false">IF(Scheda_2!$D$206="Sì",1,0)</f>
        <v>0</v>
      </c>
    </row>
    <row r="208" customFormat="false" ht="15" hidden="false" customHeight="false" outlineLevel="0" collapsed="false">
      <c r="A208" s="16" t="s">
        <v>639</v>
      </c>
      <c r="B208" s="16" t="s">
        <v>634</v>
      </c>
      <c r="C208" s="5" t="s">
        <v>640</v>
      </c>
      <c r="D208" s="21"/>
      <c r="E208" s="16"/>
      <c r="F208" s="18" t="s">
        <v>89</v>
      </c>
      <c r="G208" s="18" t="s">
        <v>641</v>
      </c>
      <c r="H208" s="19" t="str">
        <f aca="false">Controlli_2!$L$216</f>
        <v/>
      </c>
      <c r="I208" s="24" t="n">
        <f aca="false">IF(Scheda_2!$D$206="Sì",1,0)</f>
        <v>0</v>
      </c>
    </row>
    <row r="209" customFormat="false" ht="15" hidden="false" customHeight="false" outlineLevel="0" collapsed="false">
      <c r="A209" s="16" t="s">
        <v>642</v>
      </c>
      <c r="B209" s="16" t="s">
        <v>634</v>
      </c>
      <c r="C209" s="5" t="s">
        <v>643</v>
      </c>
      <c r="D209" s="21"/>
      <c r="E209" s="16"/>
      <c r="F209" s="18" t="s">
        <v>89</v>
      </c>
      <c r="G209" s="18" t="s">
        <v>644</v>
      </c>
      <c r="H209" s="19" t="str">
        <f aca="false">Controlli_2!$L$217</f>
        <v/>
      </c>
      <c r="I209" s="24" t="n">
        <f aca="false">IF(Scheda_2!$D$206="Sì",1,0)</f>
        <v>0</v>
      </c>
    </row>
    <row r="210" customFormat="false" ht="15" hidden="false" customHeight="false" outlineLevel="0" collapsed="false">
      <c r="A210" s="16" t="s">
        <v>645</v>
      </c>
      <c r="B210" s="16" t="s">
        <v>634</v>
      </c>
      <c r="C210" s="5" t="s">
        <v>646</v>
      </c>
      <c r="D210" s="21"/>
      <c r="E210" s="16"/>
      <c r="F210" s="18" t="s">
        <v>89</v>
      </c>
      <c r="G210" s="18" t="s">
        <v>641</v>
      </c>
      <c r="H210" s="19" t="str">
        <f aca="false">Controlli_2!$L$218</f>
        <v/>
      </c>
      <c r="I210" s="24" t="n">
        <f aca="false">IF(Scheda_2!$D$206="Sì",1,0)</f>
        <v>0</v>
      </c>
    </row>
    <row r="211" customFormat="false" ht="15" hidden="false" customHeight="false" outlineLevel="0" collapsed="false">
      <c r="A211" s="16" t="s">
        <v>647</v>
      </c>
      <c r="B211" s="16" t="s">
        <v>634</v>
      </c>
      <c r="C211" s="5" t="s">
        <v>648</v>
      </c>
      <c r="D211" s="21"/>
      <c r="E211" s="16"/>
      <c r="F211" s="18" t="s">
        <v>89</v>
      </c>
      <c r="G211" s="18" t="s">
        <v>641</v>
      </c>
      <c r="H211" s="19" t="str">
        <f aca="false">Controlli_2!$L$219</f>
        <v/>
      </c>
      <c r="I211" s="24" t="n">
        <f aca="false">IF(Scheda_2!$D$206="Sì",1,0)</f>
        <v>0</v>
      </c>
    </row>
    <row r="212" customFormat="false" ht="15" hidden="false" customHeight="false" outlineLevel="0" collapsed="false">
      <c r="A212" s="16" t="s">
        <v>649</v>
      </c>
      <c r="B212" s="16" t="s">
        <v>634</v>
      </c>
      <c r="C212" s="5" t="s">
        <v>650</v>
      </c>
      <c r="D212" s="21"/>
      <c r="E212" s="16"/>
      <c r="F212" s="18" t="s">
        <v>89</v>
      </c>
      <c r="G212" s="18" t="s">
        <v>641</v>
      </c>
      <c r="H212" s="19" t="str">
        <f aca="false">Controlli_2!$L$220</f>
        <v/>
      </c>
      <c r="I212" s="24" t="n">
        <f aca="false">IF(Scheda_2!$D$206="Sì",1,0)</f>
        <v>0</v>
      </c>
    </row>
    <row r="213" customFormat="false" ht="15" hidden="false" customHeight="false" outlineLevel="0" collapsed="false">
      <c r="A213" s="16" t="s">
        <v>651</v>
      </c>
      <c r="B213" s="16" t="s">
        <v>634</v>
      </c>
      <c r="C213" s="5" t="s">
        <v>652</v>
      </c>
      <c r="D213" s="21"/>
      <c r="E213" s="16"/>
      <c r="F213" s="18" t="s">
        <v>89</v>
      </c>
      <c r="G213" s="18" t="s">
        <v>641</v>
      </c>
      <c r="H213" s="19" t="str">
        <f aca="false">Controlli_2!$L$221</f>
        <v/>
      </c>
      <c r="I213" s="24" t="n">
        <f aca="false">IF(Scheda_2!$D$206="Sì",1,0)</f>
        <v>0</v>
      </c>
    </row>
    <row r="214" customFormat="false" ht="15" hidden="false" customHeight="false" outlineLevel="0" collapsed="false">
      <c r="A214" s="16" t="s">
        <v>653</v>
      </c>
      <c r="B214" s="16" t="s">
        <v>634</v>
      </c>
      <c r="C214" s="5" t="s">
        <v>654</v>
      </c>
      <c r="D214" s="21"/>
      <c r="E214" s="16"/>
      <c r="F214" s="18" t="s">
        <v>89</v>
      </c>
      <c r="G214" s="18" t="s">
        <v>641</v>
      </c>
      <c r="H214" s="19" t="str">
        <f aca="false">Controlli_2!$L$222</f>
        <v/>
      </c>
      <c r="I214" s="24" t="n">
        <f aca="false">IF(Scheda_2!$D$206="Sì",1,0)</f>
        <v>0</v>
      </c>
    </row>
    <row r="215" customFormat="false" ht="25.35" hidden="false" customHeight="false" outlineLevel="0" collapsed="false">
      <c r="A215" s="16" t="s">
        <v>655</v>
      </c>
      <c r="B215" s="16" t="s">
        <v>634</v>
      </c>
      <c r="C215" s="5" t="s">
        <v>656</v>
      </c>
      <c r="D215" s="21"/>
      <c r="E215" s="16"/>
      <c r="F215" s="18" t="s">
        <v>89</v>
      </c>
      <c r="G215" s="18" t="s">
        <v>641</v>
      </c>
      <c r="H215" s="19" t="str">
        <f aca="false">Controlli_2!$L$223</f>
        <v/>
      </c>
      <c r="I215" s="24" t="n">
        <f aca="false">IF(Scheda_2!$D$206="Sì",1,0)</f>
        <v>0</v>
      </c>
    </row>
    <row r="216" customFormat="false" ht="19.5" hidden="false" customHeight="true" outlineLevel="0" collapsed="false">
      <c r="A216" s="14" t="s">
        <v>657</v>
      </c>
      <c r="B216" s="14"/>
      <c r="C216" s="14"/>
      <c r="D216" s="14"/>
      <c r="E216" s="14"/>
      <c r="F216" s="14"/>
      <c r="G216" s="14"/>
      <c r="H216" s="14"/>
    </row>
    <row r="217" customFormat="false" ht="15" hidden="false" customHeight="false" outlineLevel="0" collapsed="false">
      <c r="A217" s="16" t="s">
        <v>658</v>
      </c>
      <c r="B217" s="16" t="s">
        <v>659</v>
      </c>
      <c r="C217" s="20" t="s">
        <v>660</v>
      </c>
      <c r="D217" s="21" t="s">
        <v>125</v>
      </c>
      <c r="E217" s="16"/>
      <c r="F217" s="18" t="s">
        <v>75</v>
      </c>
      <c r="G217" s="18" t="s">
        <v>467</v>
      </c>
      <c r="H217" s="19" t="str">
        <f aca="false">Controlli_2!$L$224</f>
        <v>ok</v>
      </c>
      <c r="I217" s="0" t="n">
        <v>1</v>
      </c>
    </row>
    <row r="218" customFormat="false" ht="15" hidden="false" customHeight="false" outlineLevel="0" collapsed="false">
      <c r="A218" s="16" t="s">
        <v>661</v>
      </c>
      <c r="B218" s="16" t="s">
        <v>659</v>
      </c>
      <c r="C218" s="5" t="s">
        <v>662</v>
      </c>
      <c r="D218" s="21"/>
      <c r="E218" s="16" t="s">
        <v>293</v>
      </c>
      <c r="F218" s="18" t="s">
        <v>663</v>
      </c>
      <c r="G218" s="18" t="s">
        <v>664</v>
      </c>
      <c r="H218" s="19" t="str">
        <f aca="false">Controlli_2!$L$225</f>
        <v/>
      </c>
      <c r="I218" s="24" t="n">
        <f aca="false">IF(Scheda_2!$D$217="Sì",1,0)</f>
        <v>0</v>
      </c>
    </row>
    <row r="219" customFormat="false" ht="25.35" hidden="false" customHeight="false" outlineLevel="0" collapsed="false">
      <c r="A219" s="16" t="s">
        <v>665</v>
      </c>
      <c r="B219" s="16" t="s">
        <v>659</v>
      </c>
      <c r="C219" s="5" t="s">
        <v>666</v>
      </c>
      <c r="D219" s="21"/>
      <c r="E219" s="16" t="s">
        <v>234</v>
      </c>
      <c r="F219" s="18" t="s">
        <v>663</v>
      </c>
      <c r="G219" s="18" t="s">
        <v>667</v>
      </c>
      <c r="H219" s="19" t="str">
        <f aca="false">Controlli_2!$L$226</f>
        <v/>
      </c>
      <c r="I219" s="24" t="n">
        <f aca="false">IF(Scheda_2!$D$217="Sì",1,0)</f>
        <v>0</v>
      </c>
    </row>
    <row r="220" customFormat="false" ht="15" hidden="false" customHeight="false" outlineLevel="0" collapsed="false">
      <c r="A220" s="16" t="s">
        <v>668</v>
      </c>
      <c r="B220" s="16" t="s">
        <v>659</v>
      </c>
      <c r="C220" s="5" t="s">
        <v>669</v>
      </c>
      <c r="D220" s="21"/>
      <c r="E220" s="16" t="s">
        <v>140</v>
      </c>
      <c r="F220" s="18" t="s">
        <v>663</v>
      </c>
      <c r="G220" s="18" t="s">
        <v>664</v>
      </c>
      <c r="H220" s="19" t="str">
        <f aca="false">Controlli_2!$L$227</f>
        <v/>
      </c>
      <c r="I220" s="24" t="n">
        <f aca="false">IF(Scheda_2!$D$217="Sì",1,0)</f>
        <v>0</v>
      </c>
    </row>
    <row r="221" customFormat="false" ht="15" hidden="false" customHeight="false" outlineLevel="0" collapsed="false">
      <c r="A221" s="16" t="s">
        <v>670</v>
      </c>
      <c r="B221" s="16" t="s">
        <v>659</v>
      </c>
      <c r="C221" s="5" t="s">
        <v>671</v>
      </c>
      <c r="D221" s="21"/>
      <c r="E221" s="16"/>
      <c r="F221" s="18" t="s">
        <v>663</v>
      </c>
      <c r="G221" s="18" t="s">
        <v>664</v>
      </c>
      <c r="H221" s="19" t="str">
        <f aca="false">Controlli_2!$L$228</f>
        <v/>
      </c>
      <c r="I221" s="24" t="n">
        <f aca="false">IF(Scheda_2!$D$217="Sì",1,0)</f>
        <v>0</v>
      </c>
    </row>
    <row r="222" customFormat="false" ht="15" hidden="false" customHeight="false" outlineLevel="0" collapsed="false">
      <c r="A222" s="16" t="s">
        <v>672</v>
      </c>
      <c r="B222" s="16" t="s">
        <v>659</v>
      </c>
      <c r="C222" s="5" t="s">
        <v>673</v>
      </c>
      <c r="D222" s="21"/>
      <c r="E222" s="16" t="s">
        <v>674</v>
      </c>
      <c r="F222" s="18" t="s">
        <v>663</v>
      </c>
      <c r="G222" s="18" t="s">
        <v>675</v>
      </c>
      <c r="H222" s="19" t="str">
        <f aca="false">Controlli_2!$L$229</f>
        <v/>
      </c>
      <c r="I222" s="24" t="n">
        <f aca="false">IF(Scheda_2!$D$217="Sì",1,0)</f>
        <v>0</v>
      </c>
    </row>
    <row r="223" customFormat="false" ht="15" hidden="false" customHeight="false" outlineLevel="0" collapsed="false">
      <c r="A223" s="16" t="s">
        <v>676</v>
      </c>
      <c r="B223" s="16" t="s">
        <v>659</v>
      </c>
      <c r="C223" s="5" t="s">
        <v>677</v>
      </c>
      <c r="D223" s="21"/>
      <c r="E223" s="16"/>
      <c r="F223" s="18" t="s">
        <v>663</v>
      </c>
      <c r="G223" s="18" t="s">
        <v>664</v>
      </c>
      <c r="H223" s="19" t="str">
        <f aca="false">Controlli_2!$L$230</f>
        <v/>
      </c>
      <c r="I223" s="24" t="n">
        <f aca="false">IF(Scheda_2!$D$217="Sì",1,0)</f>
        <v>0</v>
      </c>
    </row>
    <row r="224" customFormat="false" ht="15" hidden="false" customHeight="false" outlineLevel="0" collapsed="false">
      <c r="A224" s="16" t="s">
        <v>678</v>
      </c>
      <c r="B224" s="16" t="s">
        <v>659</v>
      </c>
      <c r="C224" s="5" t="s">
        <v>679</v>
      </c>
      <c r="D224" s="21"/>
      <c r="E224" s="16"/>
      <c r="F224" s="18" t="s">
        <v>663</v>
      </c>
      <c r="G224" s="18" t="s">
        <v>664</v>
      </c>
      <c r="H224" s="19" t="str">
        <f aca="false">Controlli_2!$L$231</f>
        <v/>
      </c>
      <c r="I224" s="24" t="n">
        <f aca="false">IF(Scheda_2!$D$217="Sì",1,0)</f>
        <v>0</v>
      </c>
    </row>
    <row r="225" customFormat="false" ht="15" hidden="false" customHeight="false" outlineLevel="0" collapsed="false">
      <c r="A225" s="16" t="s">
        <v>680</v>
      </c>
      <c r="B225" s="16" t="s">
        <v>659</v>
      </c>
      <c r="C225" s="5" t="s">
        <v>681</v>
      </c>
      <c r="D225" s="21"/>
      <c r="E225" s="16" t="s">
        <v>310</v>
      </c>
      <c r="F225" s="18" t="s">
        <v>663</v>
      </c>
      <c r="G225" s="18" t="s">
        <v>664</v>
      </c>
      <c r="H225" s="19" t="str">
        <f aca="false">Controlli_2!$L$232</f>
        <v/>
      </c>
      <c r="I225" s="24" t="n">
        <f aca="false">IF(Scheda_2!$D$217="Sì",1,0)</f>
        <v>0</v>
      </c>
    </row>
    <row r="226" customFormat="false" ht="19.5" hidden="false" customHeight="true" outlineLevel="0" collapsed="false">
      <c r="A226" s="14" t="s">
        <v>682</v>
      </c>
      <c r="B226" s="14"/>
      <c r="C226" s="14"/>
      <c r="D226" s="14"/>
      <c r="E226" s="14"/>
      <c r="F226" s="14"/>
      <c r="G226" s="14"/>
      <c r="H226" s="14"/>
    </row>
    <row r="227" customFormat="false" ht="15" hidden="false" customHeight="false" outlineLevel="0" collapsed="false">
      <c r="A227" s="15" t="s">
        <v>683</v>
      </c>
      <c r="B227" s="15"/>
      <c r="C227" s="15"/>
      <c r="D227" s="15"/>
      <c r="E227" s="15"/>
      <c r="F227" s="15"/>
      <c r="G227" s="15"/>
      <c r="H227" s="15"/>
    </row>
    <row r="228" customFormat="false" ht="25.35" hidden="false" customHeight="false" outlineLevel="0" collapsed="false">
      <c r="A228" s="16" t="s">
        <v>684</v>
      </c>
      <c r="B228" s="16" t="s">
        <v>685</v>
      </c>
      <c r="C228" s="20" t="s">
        <v>686</v>
      </c>
      <c r="D228" s="21" t="s">
        <v>125</v>
      </c>
      <c r="E228" s="16"/>
      <c r="F228" s="18" t="s">
        <v>75</v>
      </c>
      <c r="G228" s="18" t="s">
        <v>467</v>
      </c>
      <c r="H228" s="19" t="str">
        <f aca="false">Controlli_2!$L$233</f>
        <v>ok</v>
      </c>
      <c r="I228" s="0" t="n">
        <v>1</v>
      </c>
    </row>
    <row r="229" customFormat="false" ht="25.35" hidden="false" customHeight="false" outlineLevel="0" collapsed="false">
      <c r="A229" s="16" t="s">
        <v>687</v>
      </c>
      <c r="B229" s="16" t="s">
        <v>685</v>
      </c>
      <c r="C229" s="5" t="s">
        <v>688</v>
      </c>
      <c r="D229" s="21"/>
      <c r="E229" s="16"/>
      <c r="F229" s="18" t="s">
        <v>84</v>
      </c>
      <c r="G229" s="18" t="s">
        <v>689</v>
      </c>
      <c r="H229" s="19" t="str">
        <f aca="false">Controlli_2!$L$234</f>
        <v/>
      </c>
      <c r="I229" s="24" t="n">
        <f aca="false">IF(Scheda_2!$D$228="Sì",1,0)</f>
        <v>0</v>
      </c>
    </row>
    <row r="230" customFormat="false" ht="25.35" hidden="false" customHeight="false" outlineLevel="0" collapsed="false">
      <c r="A230" s="16" t="s">
        <v>690</v>
      </c>
      <c r="B230" s="16" t="s">
        <v>685</v>
      </c>
      <c r="C230" s="5" t="s">
        <v>691</v>
      </c>
      <c r="D230" s="21"/>
      <c r="E230" s="16"/>
      <c r="F230" s="18" t="s">
        <v>84</v>
      </c>
      <c r="G230" s="18" t="s">
        <v>692</v>
      </c>
      <c r="H230" s="19" t="str">
        <f aca="false">Controlli_2!$L$235</f>
        <v/>
      </c>
      <c r="I230" s="24" t="n">
        <f aca="false">IF(Scheda_2!$D$228="Sì",1,0)</f>
        <v>0</v>
      </c>
    </row>
    <row r="231" customFormat="false" ht="23.85" hidden="false" customHeight="false" outlineLevel="0" collapsed="false">
      <c r="A231" s="16" t="s">
        <v>693</v>
      </c>
      <c r="B231" s="16" t="s">
        <v>685</v>
      </c>
      <c r="C231" s="5" t="s">
        <v>694</v>
      </c>
      <c r="D231" s="21"/>
      <c r="E231" s="16"/>
      <c r="F231" s="18" t="s">
        <v>695</v>
      </c>
      <c r="G231" s="18" t="s">
        <v>696</v>
      </c>
      <c r="H231" s="19" t="str">
        <f aca="false">Controlli_2!$L$236</f>
        <v/>
      </c>
      <c r="I231" s="24" t="n">
        <f aca="false">IF(Scheda_2!$D$228="Sì",1,0)</f>
        <v>0</v>
      </c>
    </row>
    <row r="232" customFormat="false" ht="25.35" hidden="false" customHeight="false" outlineLevel="0" collapsed="false">
      <c r="A232" s="16" t="s">
        <v>697</v>
      </c>
      <c r="B232" s="16" t="s">
        <v>685</v>
      </c>
      <c r="C232" s="5" t="s">
        <v>698</v>
      </c>
      <c r="D232" s="21"/>
      <c r="E232" s="16"/>
      <c r="F232" s="18" t="s">
        <v>84</v>
      </c>
      <c r="G232" s="18" t="s">
        <v>696</v>
      </c>
      <c r="H232" s="19" t="str">
        <f aca="false">Controlli_2!$L$237</f>
        <v/>
      </c>
      <c r="I232" s="24" t="n">
        <f aca="false">IF(Scheda_2!$D$228="Sì",1,0)</f>
        <v>0</v>
      </c>
    </row>
    <row r="233" customFormat="false" ht="23.85" hidden="false" customHeight="false" outlineLevel="0" collapsed="false">
      <c r="A233" s="16" t="s">
        <v>699</v>
      </c>
      <c r="B233" s="16" t="s">
        <v>685</v>
      </c>
      <c r="C233" s="5" t="s">
        <v>700</v>
      </c>
      <c r="D233" s="21"/>
      <c r="E233" s="16" t="s">
        <v>293</v>
      </c>
      <c r="F233" s="18" t="s">
        <v>701</v>
      </c>
      <c r="G233" s="18" t="s">
        <v>696</v>
      </c>
      <c r="H233" s="19" t="str">
        <f aca="false">Controlli_2!$L$238</f>
        <v/>
      </c>
      <c r="I233" s="24" t="n">
        <f aca="false">IF(Scheda_2!$D$228="Sì",1,0)</f>
        <v>0</v>
      </c>
    </row>
    <row r="234" customFormat="false" ht="19.5" hidden="false" customHeight="true" outlineLevel="0" collapsed="false">
      <c r="A234" s="14" t="s">
        <v>702</v>
      </c>
      <c r="B234" s="14"/>
      <c r="C234" s="14"/>
      <c r="D234" s="14"/>
      <c r="E234" s="14"/>
      <c r="F234" s="14"/>
      <c r="G234" s="14"/>
      <c r="H234" s="14"/>
    </row>
    <row r="235" customFormat="false" ht="15" hidden="false" customHeight="false" outlineLevel="0" collapsed="false">
      <c r="A235" s="15" t="s">
        <v>703</v>
      </c>
      <c r="B235" s="15"/>
      <c r="C235" s="15"/>
      <c r="D235" s="15"/>
      <c r="E235" s="15"/>
      <c r="F235" s="15"/>
      <c r="G235" s="15"/>
      <c r="H235" s="15"/>
    </row>
    <row r="236" customFormat="false" ht="15" hidden="false" customHeight="false" outlineLevel="0" collapsed="false">
      <c r="A236" s="16" t="s">
        <v>704</v>
      </c>
      <c r="B236" s="16" t="s">
        <v>705</v>
      </c>
      <c r="C236" s="20" t="s">
        <v>706</v>
      </c>
      <c r="D236" s="21" t="s">
        <v>125</v>
      </c>
      <c r="E236" s="16"/>
      <c r="F236" s="18" t="s">
        <v>75</v>
      </c>
      <c r="G236" s="18" t="s">
        <v>467</v>
      </c>
      <c r="H236" s="19" t="str">
        <f aca="false">Controlli_2!$L$239</f>
        <v>ok</v>
      </c>
      <c r="I236" s="0" t="n">
        <v>1</v>
      </c>
    </row>
    <row r="237" customFormat="false" ht="25.35" hidden="false" customHeight="false" outlineLevel="0" collapsed="false">
      <c r="A237" s="16" t="s">
        <v>707</v>
      </c>
      <c r="B237" s="16" t="s">
        <v>705</v>
      </c>
      <c r="C237" s="5" t="s">
        <v>708</v>
      </c>
      <c r="D237" s="21"/>
      <c r="E237" s="16" t="s">
        <v>140</v>
      </c>
      <c r="F237" s="18" t="s">
        <v>89</v>
      </c>
      <c r="G237" s="18" t="s">
        <v>709</v>
      </c>
      <c r="H237" s="19" t="str">
        <f aca="false">Controlli_2!$L$240</f>
        <v/>
      </c>
      <c r="I237" s="24" t="n">
        <f aca="false">IF(Scheda_2!$D$236="Sì",1,0)</f>
        <v>0</v>
      </c>
    </row>
    <row r="238" customFormat="false" ht="15" hidden="false" customHeight="false" outlineLevel="0" collapsed="false">
      <c r="A238" s="16" t="s">
        <v>710</v>
      </c>
      <c r="B238" s="16" t="s">
        <v>705</v>
      </c>
      <c r="C238" s="5" t="s">
        <v>711</v>
      </c>
      <c r="D238" s="21"/>
      <c r="E238" s="16" t="s">
        <v>140</v>
      </c>
      <c r="F238" s="18" t="s">
        <v>89</v>
      </c>
      <c r="G238" s="18" t="s">
        <v>712</v>
      </c>
      <c r="H238" s="19" t="str">
        <f aca="false">Controlli_2!$L$241</f>
        <v/>
      </c>
      <c r="I238" s="24" t="n">
        <f aca="false">IF(Scheda_2!$D$236="Sì",1,0)</f>
        <v>0</v>
      </c>
    </row>
    <row r="239" customFormat="false" ht="15" hidden="false" customHeight="false" outlineLevel="0" collapsed="false">
      <c r="A239" s="16" t="s">
        <v>713</v>
      </c>
      <c r="B239" s="16" t="s">
        <v>705</v>
      </c>
      <c r="C239" s="5" t="s">
        <v>714</v>
      </c>
      <c r="D239" s="21"/>
      <c r="E239" s="16"/>
      <c r="F239" s="18" t="s">
        <v>89</v>
      </c>
      <c r="G239" s="18" t="s">
        <v>715</v>
      </c>
      <c r="H239" s="19" t="str">
        <f aca="false">Controlli_2!$L$242</f>
        <v/>
      </c>
      <c r="I239" s="24" t="n">
        <f aca="false">IF(Scheda_2!$D$236="Sì",1,0)</f>
        <v>0</v>
      </c>
    </row>
    <row r="240" customFormat="false" ht="19.5" hidden="false" customHeight="true" outlineLevel="0" collapsed="false">
      <c r="A240" s="14" t="s">
        <v>716</v>
      </c>
      <c r="B240" s="14"/>
      <c r="C240" s="14"/>
      <c r="D240" s="14"/>
      <c r="E240" s="14"/>
      <c r="F240" s="14"/>
      <c r="G240" s="14"/>
      <c r="H240" s="14"/>
    </row>
    <row r="241" customFormat="false" ht="15" hidden="false" customHeight="false" outlineLevel="0" collapsed="false">
      <c r="A241" s="15" t="s">
        <v>717</v>
      </c>
      <c r="B241" s="15"/>
      <c r="C241" s="15"/>
      <c r="D241" s="15"/>
      <c r="E241" s="15"/>
      <c r="F241" s="15"/>
      <c r="G241" s="15"/>
      <c r="H241" s="15"/>
    </row>
    <row r="242" customFormat="false" ht="25.35" hidden="false" customHeight="false" outlineLevel="0" collapsed="false">
      <c r="A242" s="16" t="s">
        <v>718</v>
      </c>
      <c r="B242" s="16" t="s">
        <v>719</v>
      </c>
      <c r="C242" s="20" t="s">
        <v>720</v>
      </c>
      <c r="D242" s="21" t="s">
        <v>379</v>
      </c>
      <c r="E242" s="16"/>
      <c r="F242" s="18" t="s">
        <v>75</v>
      </c>
      <c r="G242" s="18" t="s">
        <v>467</v>
      </c>
      <c r="H242" s="19" t="str">
        <f aca="false">Controlli_2!$L$243</f>
        <v>ok</v>
      </c>
      <c r="I242" s="0" t="n">
        <v>1</v>
      </c>
    </row>
    <row r="243" customFormat="false" ht="15" hidden="false" customHeight="false" outlineLevel="0" collapsed="false">
      <c r="A243" s="16" t="s">
        <v>721</v>
      </c>
      <c r="B243" s="16" t="s">
        <v>719</v>
      </c>
      <c r="C243" s="5" t="s">
        <v>722</v>
      </c>
      <c r="D243" s="21" t="s">
        <v>815</v>
      </c>
      <c r="E243" s="16"/>
      <c r="F243" s="18" t="s">
        <v>75</v>
      </c>
      <c r="G243" s="18" t="s">
        <v>723</v>
      </c>
      <c r="H243" s="19" t="str">
        <f aca="false">Controlli_2!$L$244</f>
        <v>ok</v>
      </c>
      <c r="I243" s="24" t="n">
        <f aca="false">IF(Scheda_2!$D$242="Sì",1,0)</f>
        <v>1</v>
      </c>
    </row>
    <row r="244" customFormat="false" ht="15" hidden="false" customHeight="false" outlineLevel="0" collapsed="false">
      <c r="A244" s="16" t="s">
        <v>724</v>
      </c>
      <c r="B244" s="16" t="s">
        <v>719</v>
      </c>
      <c r="C244" s="5" t="s">
        <v>725</v>
      </c>
      <c r="D244" s="21" t="s">
        <v>803</v>
      </c>
      <c r="E244" s="16"/>
      <c r="F244" s="18" t="s">
        <v>75</v>
      </c>
      <c r="G244" s="18" t="s">
        <v>726</v>
      </c>
      <c r="H244" s="19" t="str">
        <f aca="false">Controlli_2!$L$245</f>
        <v>ok</v>
      </c>
      <c r="I244" s="24" t="n">
        <f aca="false">IF(Scheda_2!$D$242="Sì",1,0)</f>
        <v>1</v>
      </c>
    </row>
    <row r="245" customFormat="false" ht="15" hidden="false" customHeight="false" outlineLevel="0" collapsed="false">
      <c r="A245" s="16" t="s">
        <v>727</v>
      </c>
      <c r="B245" s="16" t="s">
        <v>719</v>
      </c>
      <c r="C245" s="5" t="s">
        <v>728</v>
      </c>
      <c r="D245" s="21" t="s">
        <v>125</v>
      </c>
      <c r="E245" s="16"/>
      <c r="F245" s="18" t="s">
        <v>75</v>
      </c>
      <c r="G245" s="18" t="s">
        <v>729</v>
      </c>
      <c r="H245" s="19" t="str">
        <f aca="false">Controlli_2!$L$246</f>
        <v>ok</v>
      </c>
      <c r="I245" s="24" t="n">
        <f aca="false">IF(Scheda_2!$D$242="Sì",1,0)</f>
        <v>1</v>
      </c>
    </row>
    <row r="246" customFormat="false" ht="15" hidden="false" customHeight="false" outlineLevel="0" collapsed="false">
      <c r="A246" s="16" t="s">
        <v>730</v>
      </c>
      <c r="B246" s="16" t="s">
        <v>719</v>
      </c>
      <c r="C246" s="5" t="s">
        <v>731</v>
      </c>
      <c r="D246" s="21" t="s">
        <v>125</v>
      </c>
      <c r="E246" s="16"/>
      <c r="F246" s="18" t="s">
        <v>75</v>
      </c>
      <c r="G246" s="18" t="s">
        <v>732</v>
      </c>
      <c r="H246" s="19" t="str">
        <f aca="false">Controlli_2!$L$247</f>
        <v>ok</v>
      </c>
      <c r="I246" s="24" t="n">
        <f aca="false">IF(Scheda_2!$D$242="Sì",1,0)</f>
        <v>1</v>
      </c>
    </row>
    <row r="247" customFormat="false" ht="25.35" hidden="false" customHeight="false" outlineLevel="0" collapsed="false">
      <c r="A247" s="16" t="s">
        <v>733</v>
      </c>
      <c r="B247" s="16" t="s">
        <v>719</v>
      </c>
      <c r="C247" s="5" t="s">
        <v>734</v>
      </c>
      <c r="D247" s="21" t="s">
        <v>125</v>
      </c>
      <c r="E247" s="16"/>
      <c r="F247" s="18" t="s">
        <v>75</v>
      </c>
      <c r="G247" s="18" t="s">
        <v>735</v>
      </c>
      <c r="H247" s="19" t="str">
        <f aca="false">Controlli_2!$L$248</f>
        <v>ok</v>
      </c>
      <c r="I247" s="24" t="n">
        <f aca="false">IF(Scheda_2!$D$242="Sì",1,0)</f>
        <v>1</v>
      </c>
    </row>
    <row r="248" customFormat="false" ht="15" hidden="false" customHeight="false" outlineLevel="0" collapsed="false">
      <c r="A248" s="16" t="s">
        <v>736</v>
      </c>
      <c r="B248" s="16" t="s">
        <v>719</v>
      </c>
      <c r="C248" s="5" t="s">
        <v>737</v>
      </c>
      <c r="D248" s="21"/>
      <c r="E248" s="16"/>
      <c r="F248" s="18" t="s">
        <v>75</v>
      </c>
      <c r="G248" s="18" t="s">
        <v>738</v>
      </c>
      <c r="H248" s="19" t="str">
        <f aca="false">Controlli_2!$L$249</f>
        <v>MANCANTE</v>
      </c>
      <c r="I248" s="24" t="n">
        <f aca="false">IF(Scheda_2!$D$242="Sì",1,0)</f>
        <v>1</v>
      </c>
    </row>
    <row r="249" customFormat="false" ht="15" hidden="false" customHeight="false" outlineLevel="0" collapsed="false">
      <c r="A249" s="16" t="s">
        <v>739</v>
      </c>
      <c r="B249" s="16" t="s">
        <v>719</v>
      </c>
      <c r="C249" s="5" t="s">
        <v>740</v>
      </c>
      <c r="D249" s="21" t="s">
        <v>379</v>
      </c>
      <c r="E249" s="16"/>
      <c r="F249" s="18" t="s">
        <v>75</v>
      </c>
      <c r="G249" s="18" t="s">
        <v>741</v>
      </c>
      <c r="H249" s="19" t="str">
        <f aca="false">Controlli_2!$L$250</f>
        <v>ok</v>
      </c>
      <c r="I249" s="24" t="n">
        <f aca="false">IF(Scheda_2!$D$242="Sì",1,0)</f>
        <v>1</v>
      </c>
    </row>
    <row r="250" customFormat="false" ht="15" hidden="false" customHeight="false" outlineLevel="0" collapsed="false">
      <c r="A250" s="16" t="s">
        <v>742</v>
      </c>
      <c r="B250" s="16" t="s">
        <v>719</v>
      </c>
      <c r="C250" s="5" t="s">
        <v>743</v>
      </c>
      <c r="D250" s="21" t="s">
        <v>125</v>
      </c>
      <c r="E250" s="16"/>
      <c r="F250" s="18" t="s">
        <v>75</v>
      </c>
      <c r="G250" s="18" t="s">
        <v>744</v>
      </c>
      <c r="H250" s="19" t="str">
        <f aca="false">Controlli_2!$L$251</f>
        <v>ok</v>
      </c>
      <c r="I250" s="24" t="n">
        <f aca="false">IF(Scheda_2!$D$242="Sì",1,0)</f>
        <v>1</v>
      </c>
    </row>
    <row r="251" customFormat="false" ht="15" hidden="false" customHeight="false" outlineLevel="0" collapsed="false">
      <c r="A251" s="16" t="s">
        <v>745</v>
      </c>
      <c r="B251" s="16" t="s">
        <v>719</v>
      </c>
      <c r="C251" s="5" t="s">
        <v>746</v>
      </c>
      <c r="D251" s="21" t="s">
        <v>125</v>
      </c>
      <c r="E251" s="16"/>
      <c r="F251" s="18" t="s">
        <v>75</v>
      </c>
      <c r="G251" s="18" t="s">
        <v>747</v>
      </c>
      <c r="H251" s="19" t="str">
        <f aca="false">Controlli_2!$L$252</f>
        <v>ok</v>
      </c>
      <c r="I251" s="24" t="n">
        <f aca="false">IF(Scheda_2!$D$242="Sì",1,0)</f>
        <v>1</v>
      </c>
    </row>
    <row r="252" customFormat="false" ht="15" hidden="false" customHeight="false" outlineLevel="0" collapsed="false">
      <c r="A252" s="16" t="s">
        <v>748</v>
      </c>
      <c r="B252" s="16" t="s">
        <v>719</v>
      </c>
      <c r="C252" s="5" t="s">
        <v>749</v>
      </c>
      <c r="D252" s="21" t="s">
        <v>125</v>
      </c>
      <c r="E252" s="16"/>
      <c r="F252" s="18" t="s">
        <v>75</v>
      </c>
      <c r="G252" s="18" t="s">
        <v>735</v>
      </c>
      <c r="H252" s="19" t="str">
        <f aca="false">Controlli_2!$L$253</f>
        <v>ok</v>
      </c>
      <c r="I252" s="24" t="n">
        <f aca="false">IF(Scheda_2!$D$242="Sì",1,0)</f>
        <v>1</v>
      </c>
    </row>
  </sheetData>
  <mergeCells count="26">
    <mergeCell ref="C5:G5"/>
    <mergeCell ref="A7:H7"/>
    <mergeCell ref="A8:H8"/>
    <mergeCell ref="A16:H16"/>
    <mergeCell ref="A17:H17"/>
    <mergeCell ref="A24:H24"/>
    <mergeCell ref="A25:H25"/>
    <mergeCell ref="A44:H44"/>
    <mergeCell ref="A45:H45"/>
    <mergeCell ref="A54:H54"/>
    <mergeCell ref="A77:H77"/>
    <mergeCell ref="A78:H78"/>
    <mergeCell ref="A128:H128"/>
    <mergeCell ref="A143:H143"/>
    <mergeCell ref="A144:H144"/>
    <mergeCell ref="A170:H170"/>
    <mergeCell ref="A191:H191"/>
    <mergeCell ref="A192:H192"/>
    <mergeCell ref="A205:H205"/>
    <mergeCell ref="A216:H216"/>
    <mergeCell ref="A226:H226"/>
    <mergeCell ref="A227:H227"/>
    <mergeCell ref="A234:H234"/>
    <mergeCell ref="A235:H235"/>
    <mergeCell ref="A240:H240"/>
    <mergeCell ref="A241:H241"/>
  </mergeCells>
  <conditionalFormatting sqref="A7:H252">
    <cfRule type="expression" priority="2" aboveAverage="0" equalAverage="0" bottom="0" percent="0" rank="0" text="" dxfId="0">
      <formula>AND(ISNUMBER($I7),$I7=0)</formula>
    </cfRule>
  </conditionalFormatting>
  <conditionalFormatting sqref="D7:D252">
    <cfRule type="expression" priority="3" aboveAverage="0" equalAverage="0" bottom="0" percent="0" rank="0" text="" dxfId="1">
      <formula>$H7="MANCANTE"</formula>
    </cfRule>
    <cfRule type="expression" priority="4" aboveAverage="0" equalAverage="0" bottom="0" percent="0" rank="0" text="" dxfId="2">
      <formula>$H7="NON NOTO"</formula>
    </cfRule>
  </conditionalFormatting>
  <conditionalFormatting sqref="H7:H252">
    <cfRule type="expression" priority="5" aboveAverage="0" equalAverage="0" bottom="0" percent="0" rank="0" text="" dxfId="3">
      <formula>$H7="MANCANTE"</formula>
    </cfRule>
    <cfRule type="expression" priority="6" aboveAverage="0" equalAverage="0" bottom="0" percent="0" rank="0" text="" dxfId="4">
      <formula>$H7="ok"</formula>
    </cfRule>
  </conditionalFormatting>
  <conditionalFormatting sqref="C5:G5">
    <cfRule type="expression" priority="7" aboveAverage="0" equalAverage="0" bottom="0" percent="0" rank="0" text="" dxfId="5">
      <formula>Controlli_2!$B$13&gt;0</formula>
    </cfRule>
    <cfRule type="expression" priority="8" aboveAverage="0" equalAverage="0" bottom="0" percent="0" rank="0" text="" dxfId="6">
      <formula>Controlli_2!$B$13=0</formula>
    </cfRule>
  </conditionalFormatting>
  <dataValidations count="121">
    <dataValidation allowBlank="true" error="Usare il formato gg/mm/aaaa oppure scrivere «non noto». Continuare?" errorStyle="warning" errorTitle="Data non valida" operator="greaterThanOrEqual" showDropDown="false" showErrorMessage="true" showInputMessage="false" sqref="D22:D23 D39 D56 D62:D63 D179" type="date">
      <formula1>1</formula1>
      <formula2>0</formula2>
    </dataValidation>
    <dataValidation allowBlank="true" error="Inserire un numero ≥ 0 oppure lasciare vuoto / scrivere «non noto». Continuare?" errorStyle="warning" errorTitle="Valore non numerico" operator="greaterThanOrEqual" showDropDown="false" showErrorMessage="true" showInputMessage="false" sqref="D37 D50 D65:D73 D79:D93 D95 D97 D100:D105 D107:D108 D110:D113 D115 D120:D121 D123:D126 D131 D146:D147 D149 D175:D177 D185:D188 D190 D196:D203 D218:D220 D222 D225 D233 D237:D238" type="decimal">
      <formula1>0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9" type="list">
      <formula1>Elenchi!$A$2:$A$12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" type="list">
      <formula1>Elenchi!$D$2:$D$17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6" type="list">
      <formula1>Elenchi!$J$2:$J$29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8" type="list">
      <formula1>Elenchi!$T$2:$T$8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0" type="list">
      <formula1>Elenchi!$W$2:$W$6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1" type="list">
      <formula1>Elenchi!$X$2:$X$5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5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6" type="list">
      <formula1>Elenchi!$Y$2:$Y$10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3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2" type="list">
      <formula1>Elenchi!$Z$2:$Z$5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6" type="list">
      <formula1>Elenchi!$U$2:$U$7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7" type="list">
      <formula1>Elenchi!$U$2:$U$7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8" type="list">
      <formula1>Elenchi!$V$2:$V$5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4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3" type="list">
      <formula1>Elenchi!$AA$2:$AA$4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5" type="list">
      <formula1>Elenchi!$AB$2:$AB$7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7" type="list">
      <formula1>Elenchi!$AC$2:$AC$5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59" type="list">
      <formula1>Elenchi!$AD$2:$AD$3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6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61" type="list">
      <formula1>Elenchi!$AE$2:$AE$6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64" type="list">
      <formula1>Elenchi!$AF$2:$AF$6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75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7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9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9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9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0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0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4" type="list">
      <formula1>Elenchi!$AG$2:$AG$5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7" type="list">
      <formula1>Elenchi!$AH$2:$AH$9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8" type="list">
      <formula1>Elenchi!$AH$2:$AH$9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1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2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29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2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3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4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5" type="list">
      <formula1>Elenchi!$S$2:$S$5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7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8" type="list">
      <formula1>Elenchi!$R$2:$R$5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3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40" type="list">
      <formula1>Elenchi!$R$2:$R$5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4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4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45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5" type="list">
      <formula1>Elenchi!$AI$2:$AI$5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7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59" type="list">
      <formula1>Elenchi!$AJ$2:$AJ$7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0" type="list">
      <formula1>Elenchi!$AK$2:$AK$4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5" type="list">
      <formula1>Elenchi!$AL$2:$AL$4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7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6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1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2" type="list">
      <formula1>Elenchi!$AM$2:$AM$6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78" type="list">
      <formula1>Elenchi!$AN$2:$AN$5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3" type="list">
      <formula1>Elenchi!$AO$2:$AO$6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8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93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94" type="list">
      <formula1>Elenchi!$AP$2:$AP$12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195" type="list">
      <formula1>Elenchi!$AQ$2:$AQ$4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6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7" type="list">
      <formula1>Elenchi!$AR$2:$AR$6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0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3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5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17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1" type="list">
      <formula1>Elenchi!$AS$2:$AS$4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3" type="list">
      <formula1>Elenchi!$AT$2:$AT$4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4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8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2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3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32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36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3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2" type="list">
      <formula1>Elenchi!$AW$2:$AW$3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3" type="list">
      <formula1>Elenchi!$AU$2:$AU$3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4" type="list">
      <formula1>Elenchi!$AV$2:$AV$6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5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6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7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8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49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50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51" type="list">
      <formula1>Elenchi!$Q$2:$Q$4</formula1>
      <formula2>0</formula2>
    </dataValidation>
    <dataValidation allowBlank="true" error="Scegliere un valore dall'elenco (menu a tendina)." errorStyle="stop" errorTitle="Valore non valido" operator="between" showDropDown="false" showErrorMessage="true" showInputMessage="false" sqref="D252" type="list">
      <formula1>Elenchi!$Q$2:$Q$4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7" min="4" style="0" width="7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17.35" hidden="false" customHeight="false" outlineLevel="0" collapsed="false">
      <c r="A1" s="25" t="s">
        <v>750</v>
      </c>
    </row>
    <row r="2" customFormat="false" ht="15" hidden="false" customHeight="false" outlineLevel="0" collapsed="false">
      <c r="A2" s="3" t="s">
        <v>816</v>
      </c>
    </row>
    <row r="3" customFormat="false" ht="15" hidden="false" customHeight="false" outlineLevel="0" collapsed="false">
      <c r="A3" s="26" t="s">
        <v>752</v>
      </c>
    </row>
    <row r="4" customFormat="false" ht="15" hidden="false" customHeight="false" outlineLevel="0" collapsed="false">
      <c r="A4" s="16" t="s">
        <v>753</v>
      </c>
      <c r="B4" s="27" t="str">
        <f aca="false">Scheda_2!$D$19&amp;""</f>
        <v>CILA</v>
      </c>
    </row>
    <row r="5" customFormat="false" ht="15" hidden="false" customHeight="false" outlineLevel="0" collapsed="false">
      <c r="A5" s="16" t="s">
        <v>754</v>
      </c>
      <c r="B5" s="27" t="str">
        <f aca="false">IFERROR(VLOOKUP(Scheda_2!$D$19,Elenchi!$A$2:$B$12,2,FALSE()),"")</f>
        <v>ORD</v>
      </c>
      <c r="C5" s="16" t="s">
        <v>755</v>
      </c>
    </row>
    <row r="6" customFormat="false" ht="15" hidden="false" customHeight="false" outlineLevel="0" collapsed="false">
      <c r="A6" s="16" t="s">
        <v>756</v>
      </c>
      <c r="B6" s="27" t="n">
        <f aca="false">IFERROR(VLOOKUP(Scheda_2!$D$20,Elenchi!$D$2:$H$40,2,FALSE()),0)</f>
        <v>0</v>
      </c>
      <c r="C6" s="16" t="s">
        <v>757</v>
      </c>
    </row>
    <row r="7" customFormat="false" ht="15" hidden="false" customHeight="false" outlineLevel="0" collapsed="false">
      <c r="A7" s="16" t="s">
        <v>758</v>
      </c>
      <c r="B7" s="27" t="n">
        <f aca="false">IFERROR(VLOOKUP(Scheda_2!$D$20,Elenchi!$D$2:$H$40,3,FALSE()),0)</f>
        <v>0</v>
      </c>
      <c r="C7" s="16" t="s">
        <v>759</v>
      </c>
    </row>
    <row r="8" customFormat="false" ht="15" hidden="false" customHeight="false" outlineLevel="0" collapsed="false">
      <c r="A8" s="16" t="s">
        <v>760</v>
      </c>
      <c r="B8" s="27" t="n">
        <f aca="false">IFERROR(VLOOKUP(Scheda_2!$D$20,Elenchi!$D$2:$H$40,4,FALSE()),0)</f>
        <v>0</v>
      </c>
      <c r="C8" s="16" t="s">
        <v>761</v>
      </c>
    </row>
    <row r="9" customFormat="false" ht="15" hidden="false" customHeight="false" outlineLevel="0" collapsed="false">
      <c r="A9" s="16" t="s">
        <v>762</v>
      </c>
      <c r="B9" s="27" t="n">
        <f aca="false">IFERROR(VLOOKUP(Scheda_2!$D$20,Elenchi!$D$2:$H$40,5,FALSE()),0)</f>
        <v>0</v>
      </c>
      <c r="C9" s="16" t="s">
        <v>763</v>
      </c>
    </row>
    <row r="11" customFormat="false" ht="15" hidden="false" customHeight="false" outlineLevel="0" collapsed="false">
      <c r="A11" s="16" t="s">
        <v>764</v>
      </c>
      <c r="B11" s="27" t="n">
        <f aca="false">SUM(K33:K253)</f>
        <v>44</v>
      </c>
      <c r="C11" s="16" t="s">
        <v>765</v>
      </c>
    </row>
    <row r="12" customFormat="false" ht="15" hidden="false" customHeight="false" outlineLevel="0" collapsed="false">
      <c r="A12" s="16" t="s">
        <v>766</v>
      </c>
      <c r="B12" s="27" t="n">
        <f aca="false">COUNTIF(L33:L253,"ok")</f>
        <v>40</v>
      </c>
      <c r="C12" s="16" t="s">
        <v>767</v>
      </c>
    </row>
    <row r="13" customFormat="false" ht="15" hidden="false" customHeight="false" outlineLevel="0" collapsed="false">
      <c r="A13" s="16" t="s">
        <v>768</v>
      </c>
      <c r="B13" s="28" t="n">
        <f aca="false">COUNTIF(L33:L253,"MANCANTE")</f>
        <v>2</v>
      </c>
      <c r="C13" s="16" t="s">
        <v>769</v>
      </c>
    </row>
    <row r="14" customFormat="false" ht="15" hidden="false" customHeight="false" outlineLevel="0" collapsed="false">
      <c r="A14" s="16" t="s">
        <v>770</v>
      </c>
      <c r="B14" s="27" t="n">
        <f aca="false">COUNTIF(L33:L253,"NON NOTO")</f>
        <v>2</v>
      </c>
      <c r="C14" s="16" t="s">
        <v>771</v>
      </c>
    </row>
    <row r="16" customFormat="false" ht="15" hidden="false" customHeight="false" outlineLevel="0" collapsed="false">
      <c r="A16" s="26" t="s">
        <v>772</v>
      </c>
    </row>
    <row r="17" customFormat="false" ht="15" hidden="false" customHeight="false" outlineLevel="0" collapsed="false">
      <c r="A17" s="16" t="s">
        <v>773</v>
      </c>
      <c r="B17" s="29" t="str">
        <f aca="false">IF(Scheda_2!$D$29&lt;&gt;"","Zona applicata: "&amp;Scheda_2!$D$29&amp;IF(Scheda_2!$D$28&lt;&gt;""," (dalla scheda, prevale)"," (default dell'ambito, sez. 35.0)"),"Zona A-F non determinata: se serve il K3 indicarla nel campo «zona omogenea»")</f>
        <v>Zona applicata: B (dalla scheda, prevale)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customFormat="false" ht="15" hidden="false" customHeight="false" outlineLevel="0" collapsed="false">
      <c r="A18" s="16" t="s">
        <v>774</v>
      </c>
      <c r="B18" s="29" t="str">
        <f aca="false">IF(OR($B$5="CON",$B$5="ACC"),IF(AND(ISNUMBER(Scheda_2!$D$39),ISNUMBER(Scheda_2!$D$62)),IF(Scheda_2!$D$39&lt;=Scheda_2!$D$62,"Vincolo paesaggistico ANTERIORE alle opere (sez. 12.9, 13.2)","Vincolo paesaggistico POSTERIORE alle opere (sez. 12.9, 13.2)"),"Data di istituzione del vincolo o data delle opere mancante: confronto non possibile"),"")</f>
        <v/>
      </c>
      <c r="C18" s="29"/>
      <c r="D18" s="29"/>
      <c r="E18" s="29"/>
      <c r="F18" s="29"/>
      <c r="G18" s="29"/>
      <c r="H18" s="29"/>
      <c r="I18" s="29"/>
      <c r="J18" s="29"/>
      <c r="K18" s="29"/>
      <c r="L18" s="29"/>
    </row>
    <row r="19" customFormat="false" ht="15" hidden="false" customHeight="false" outlineLevel="0" collapsed="false">
      <c r="A19" s="16" t="s">
        <v>775</v>
      </c>
      <c r="B19" s="29" t="str">
        <f aca="false">IF(AND($B$5="CON",Scheda_2!$D$145&lt;&gt;"Sì"),"ATTENZIONE: procedimento di condono, attivare la sezione H","")</f>
        <v/>
      </c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customFormat="false" ht="15" hidden="false" customHeight="false" outlineLevel="0" collapsed="false">
      <c r="A20" s="16" t="s">
        <v>776</v>
      </c>
      <c r="B20" s="29" t="str">
        <f aca="false">IF(AND(Scheda_2!$D$19="Edilizia libera",Scheda_2!$D$217&lt;&gt;"Sì"),"ATTENZIONE: edilizia libera, attivare la sezione M","")</f>
        <v/>
      </c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customFormat="false" ht="15" hidden="false" customHeight="false" outlineLevel="0" collapsed="false">
      <c r="A21" s="16" t="s">
        <v>777</v>
      </c>
      <c r="B21" s="29" t="str">
        <f aca="false">IF(AND(Scheda_2!$D$20="Recupero abitativo del sottotetto",Scheda_2!$D$171&lt;&gt;"Sì"),"ATTENZIONE: recupero del sottotetto, attivare la sezione I","")</f>
        <v/>
      </c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customFormat="false" ht="15" hidden="false" customHeight="false" outlineLevel="0" collapsed="false">
      <c r="A22" s="16" t="s">
        <v>778</v>
      </c>
      <c r="B22" s="29" t="str">
        <f aca="false">IF(AND(Scheda_2!$D$52="Sì",Scheda_2!$D$236&lt;&gt;"Sì"),"ATTENZIONE: lavori su parti strutturali, attivare la sezione S","")</f>
        <v/>
      </c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customFormat="false" ht="15" hidden="false" customHeight="false" outlineLevel="0" collapsed="false">
      <c r="A23" s="16" t="s">
        <v>779</v>
      </c>
      <c r="B23" s="29" t="str">
        <f aca="false">IF(Scheda_2!$D$236&lt;&gt;"Sì","",IF(Scheda_2!$D$239="Sì","Autorizzazione sismica: Genio Civile (istanza già inoltrata prima del 01/11/2025, LR 26/2025)",IF(OR(AND(ISNUMBER(Scheda_2!$D$237),Scheda_2!$D$237&gt;16.5),AND(ISNUMBER(Scheda_2!$D$238),Scheda_2!$D$238&gt;4)),"Autorizzazione sismica: Genio Civile (oltre i limiti LR 26/2025: 16,50 m / 4,00 m)",IF(AND(ISNUMBER(Scheda_2!$D$237),ISNUMBER(Scheda_2!$D$238)),"Autorizzazione sismica: Comune (commissione sismica attiva, entro i limiti LR 26/2025)","Competenza sismica non determinabile: altezza strutturale o profondità interrata mancante"))))</f>
        <v/>
      </c>
      <c r="C23" s="29"/>
      <c r="D23" s="29"/>
      <c r="E23" s="29"/>
      <c r="F23" s="29"/>
      <c r="G23" s="29"/>
      <c r="H23" s="29"/>
      <c r="I23" s="29"/>
      <c r="J23" s="29"/>
      <c r="K23" s="29"/>
      <c r="L23" s="29"/>
    </row>
    <row r="24" customFormat="false" ht="15" hidden="false" customHeight="false" outlineLevel="0" collapsed="false">
      <c r="A24" s="16" t="s">
        <v>780</v>
      </c>
      <c r="B24" s="29" t="str">
        <f aca="false">IF(OR(Scheda_2!$D$46="R3",Scheda_2!$D$46="R4",Scheda_2!$D$47="R3",Scheda_2!$D$47="R4"),"Rischio PSAI R3/R4: sez. 5 e 5 bis; incentivi di rigenerazione esclusi (art. 33 quater LR 16/2004)","")</f>
        <v/>
      </c>
      <c r="C24" s="29"/>
      <c r="D24" s="29"/>
      <c r="E24" s="29"/>
      <c r="F24" s="29"/>
      <c r="G24" s="29"/>
      <c r="H24" s="29"/>
      <c r="I24" s="29"/>
      <c r="J24" s="29"/>
      <c r="K24" s="29"/>
      <c r="L24" s="29"/>
    </row>
    <row r="25" customFormat="false" ht="15" hidden="false" customHeight="false" outlineLevel="0" collapsed="false">
      <c r="A25" s="16" t="s">
        <v>781</v>
      </c>
      <c r="B25" s="29" t="str">
        <f aca="false">IF(AND(OR(AND(Scheda_2!$D$46&lt;&gt;"",Scheda_2!$D$46&lt;&gt;"Nessuno",Scheda_2!$D$46&lt;&gt;"Non noto"),AND(Scheda_2!$D$47&lt;&gt;"",Scheda_2!$D$47&lt;&gt;"Nessuno",Scheda_2!$D$47&lt;&gt;"Non noto")),OR($B$6=1,$B$7=1)),"Intervento nuovo o con aumento di carico in area a rischio: segnalare la verifica del rischio atteso PSAI senza concludere (sez. 8 n. 27)","")</f>
        <v/>
      </c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customFormat="false" ht="15" hidden="false" customHeight="false" outlineLevel="0" collapsed="false">
      <c r="A26" s="16" t="s">
        <v>782</v>
      </c>
      <c r="B26" s="29" t="str">
        <f aca="false">IF(Scheda_2!$D$242&lt;&gt;"Sì","",IF(OR(Scheda_2!$D$245="Sì",Scheda_2!$D$246="Sì",Scheda_2!$D$247="Sì",Scheda_2!$D$244="Altro (eccedente)"),"Delibera C.C. 22/2023: intervento oltre i limiti, servono fascicolo integrato, valutazione NTC 8.3, autodichiarazione e perizia giurata (sez. 37.2)","Delibera C.C. 22/2023: intervento entro i limiti di MO, MS, efficientamento, restauro; verificare le quattro condizioni (sez. 37.2)"))</f>
        <v>Delibera C.C. 22/2023: intervento entro i limiti di MO, MS, efficientamento, restauro; verificare le quattro condizioni (sez. 37.2)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customFormat="false" ht="15" hidden="false" customHeight="false" outlineLevel="0" collapsed="false">
      <c r="A27" s="16" t="s">
        <v>783</v>
      </c>
      <c r="B27" s="29" t="str">
        <f aca="false">IF(AND(ISNUMBER(Scheda_2!$D$62),ISNUMBER(Scheda_2!$D$22),Scheda_2!$D$62&gt;Scheda_2!$D$22),"ATTENZIONE: data di realizzazione successiva alla data di presentazione","")</f>
        <v/>
      </c>
      <c r="C27" s="29"/>
      <c r="D27" s="29"/>
      <c r="E27" s="29"/>
      <c r="F27" s="29"/>
      <c r="G27" s="29"/>
      <c r="H27" s="29"/>
      <c r="I27" s="29"/>
      <c r="J27" s="29"/>
      <c r="K27" s="29"/>
      <c r="L27" s="29"/>
    </row>
    <row r="28" customFormat="false" ht="15" hidden="false" customHeight="false" outlineLevel="0" collapsed="false">
      <c r="A28" s="16" t="s">
        <v>784</v>
      </c>
      <c r="B28" s="29" t="str">
        <f aca="false">IF(OR(Scheda_2!$D$119="Sì",Scheda_2!$D$98="Sì"),"ATTENZIONE: aumento di volumi abitabili o mutamento d'uso verso l'abitativo in zona rossa (LR 21/2003, sez. 17)","")</f>
        <v/>
      </c>
      <c r="C28" s="29"/>
      <c r="D28" s="29"/>
      <c r="E28" s="29"/>
      <c r="F28" s="29"/>
      <c r="G28" s="29"/>
      <c r="H28" s="29"/>
      <c r="I28" s="29"/>
      <c r="J28" s="29"/>
      <c r="K28" s="29"/>
      <c r="L28" s="29"/>
    </row>
    <row r="29" customFormat="false" ht="15" hidden="false" customHeight="false" outlineLevel="0" collapsed="false">
      <c r="A29" s="16" t="s">
        <v>785</v>
      </c>
      <c r="B29" s="29" t="str">
        <f aca="false">IF(AND(Scheda_2!$D$193="Sì",Scheda_2!$D$29=""),"Contributo: zona omogenea A-F non determinata, indicarla nella scheda (sez. 29.3, 35)","")</f>
        <v/>
      </c>
      <c r="C29" s="29"/>
      <c r="D29" s="29"/>
      <c r="E29" s="29"/>
      <c r="F29" s="29"/>
      <c r="G29" s="29"/>
      <c r="H29" s="29"/>
      <c r="I29" s="29"/>
      <c r="J29" s="29"/>
      <c r="K29" s="29"/>
      <c r="L29" s="29"/>
    </row>
    <row r="31" customFormat="false" ht="15" hidden="false" customHeight="false" outlineLevel="0" collapsed="false">
      <c r="A31" s="3" t="s">
        <v>786</v>
      </c>
    </row>
    <row r="32" customFormat="false" ht="15" hidden="false" customHeight="false" outlineLevel="0" collapsed="false">
      <c r="A32" s="30" t="s">
        <v>29</v>
      </c>
      <c r="B32" s="30" t="s">
        <v>31</v>
      </c>
      <c r="C32" s="30" t="s">
        <v>30</v>
      </c>
      <c r="D32" s="30" t="s">
        <v>787</v>
      </c>
      <c r="E32" s="30" t="s">
        <v>788</v>
      </c>
      <c r="F32" s="30" t="s">
        <v>789</v>
      </c>
      <c r="G32" s="30" t="s">
        <v>790</v>
      </c>
      <c r="H32" s="30" t="s">
        <v>791</v>
      </c>
      <c r="I32" s="30" t="s">
        <v>792</v>
      </c>
      <c r="J32" s="30" t="s">
        <v>793</v>
      </c>
      <c r="K32" s="30" t="s">
        <v>794</v>
      </c>
      <c r="L32" s="30" t="s">
        <v>36</v>
      </c>
    </row>
    <row r="33" customFormat="false" ht="15" hidden="false" customHeight="false" outlineLevel="0" collapsed="false">
      <c r="A33" s="16" t="s">
        <v>39</v>
      </c>
      <c r="B33" s="31" t="s">
        <v>41</v>
      </c>
      <c r="C33" s="16" t="s">
        <v>40</v>
      </c>
      <c r="D33" s="32"/>
      <c r="E33" s="32"/>
      <c r="F33" s="32"/>
      <c r="G33" s="32"/>
      <c r="H33" s="32" t="n">
        <v>1</v>
      </c>
      <c r="I33" s="32" t="n">
        <v>1</v>
      </c>
      <c r="J33" s="32" t="n">
        <f aca="false">IF($B$5="","",IF($B$5="ORD",D33,IF($B$5="CON",E33,IF($B$5="AGI",F33,G33))))</f>
        <v>0</v>
      </c>
      <c r="K33" s="32" t="n">
        <v>0</v>
      </c>
      <c r="L33" s="32" t="str">
        <f aca="false">IF(K33=0,"",IF(LEN(TRIM(Scheda_2!$D$9&amp;""))=0,"MANCANTE",IF(LEFT(LOWER(TRIM(Scheda_2!$D$9&amp;"")),7)="non not","NON NOTO","ok")))</f>
        <v/>
      </c>
    </row>
    <row r="34" customFormat="false" ht="15" hidden="false" customHeight="false" outlineLevel="0" collapsed="false">
      <c r="A34" s="16" t="s">
        <v>45</v>
      </c>
      <c r="B34" s="31" t="s">
        <v>46</v>
      </c>
      <c r="C34" s="16" t="s">
        <v>40</v>
      </c>
      <c r="D34" s="32"/>
      <c r="E34" s="32"/>
      <c r="F34" s="32"/>
      <c r="G34" s="32"/>
      <c r="H34" s="32" t="n">
        <v>1</v>
      </c>
      <c r="I34" s="32" t="n">
        <v>1</v>
      </c>
      <c r="J34" s="32" t="n">
        <f aca="false">IF($B$5="","",IF($B$5="ORD",D34,IF($B$5="CON",E34,IF($B$5="AGI",F34,G34))))</f>
        <v>0</v>
      </c>
      <c r="K34" s="32" t="n">
        <v>0</v>
      </c>
      <c r="L34" s="32" t="str">
        <f aca="false">IF(K34=0,"",IF(LEN(TRIM(Scheda_2!$D$10&amp;""))=0,"MANCANTE",IF(LEFT(LOWER(TRIM(Scheda_2!$D$10&amp;"")),7)="non not","NON NOTO","ok")))</f>
        <v/>
      </c>
    </row>
    <row r="35" customFormat="false" ht="15" hidden="false" customHeight="false" outlineLevel="0" collapsed="false">
      <c r="A35" s="16" t="s">
        <v>49</v>
      </c>
      <c r="B35" s="31" t="s">
        <v>50</v>
      </c>
      <c r="C35" s="16" t="s">
        <v>40</v>
      </c>
      <c r="D35" s="32"/>
      <c r="E35" s="32"/>
      <c r="F35" s="32"/>
      <c r="G35" s="32"/>
      <c r="H35" s="32" t="n">
        <v>1</v>
      </c>
      <c r="I35" s="32" t="n">
        <v>1</v>
      </c>
      <c r="J35" s="32" t="n">
        <f aca="false">IF($B$5="","",IF($B$5="ORD",D35,IF($B$5="CON",E35,IF($B$5="AGI",F35,G35))))</f>
        <v>0</v>
      </c>
      <c r="K35" s="32" t="n">
        <v>0</v>
      </c>
      <c r="L35" s="32" t="str">
        <f aca="false">IF(K35=0,"",IF(LEN(TRIM(Scheda_2!$D$11&amp;""))=0,"MANCANTE",IF(LEFT(LOWER(TRIM(Scheda_2!$D$11&amp;"")),7)="non not","NON NOTO","ok")))</f>
        <v/>
      </c>
    </row>
    <row r="36" customFormat="false" ht="15" hidden="false" customHeight="false" outlineLevel="0" collapsed="false">
      <c r="A36" s="16" t="s">
        <v>53</v>
      </c>
      <c r="B36" s="31" t="s">
        <v>54</v>
      </c>
      <c r="C36" s="16" t="s">
        <v>40</v>
      </c>
      <c r="D36" s="32"/>
      <c r="E36" s="32"/>
      <c r="F36" s="32"/>
      <c r="G36" s="32"/>
      <c r="H36" s="32" t="n">
        <v>1</v>
      </c>
      <c r="I36" s="32" t="n">
        <v>1</v>
      </c>
      <c r="J36" s="32" t="n">
        <f aca="false">IF($B$5="","",IF($B$5="ORD",D36,IF($B$5="CON",E36,IF($B$5="AGI",F36,G36))))</f>
        <v>0</v>
      </c>
      <c r="K36" s="32" t="n">
        <v>0</v>
      </c>
      <c r="L36" s="32" t="str">
        <f aca="false">IF(K36=0,"",IF(LEN(TRIM(Scheda_2!$D$12&amp;""))=0,"MANCANTE",IF(LEFT(LOWER(TRIM(Scheda_2!$D$12&amp;"")),7)="non not","NON NOTO","ok")))</f>
        <v/>
      </c>
    </row>
    <row r="37" customFormat="false" ht="15" hidden="false" customHeight="false" outlineLevel="0" collapsed="false">
      <c r="A37" s="16" t="s">
        <v>57</v>
      </c>
      <c r="B37" s="31" t="s">
        <v>58</v>
      </c>
      <c r="C37" s="16" t="s">
        <v>40</v>
      </c>
      <c r="D37" s="32"/>
      <c r="E37" s="32"/>
      <c r="F37" s="32"/>
      <c r="G37" s="32"/>
      <c r="H37" s="32" t="n">
        <v>1</v>
      </c>
      <c r="I37" s="32" t="n">
        <v>1</v>
      </c>
      <c r="J37" s="32" t="n">
        <f aca="false">IF($B$5="","",IF($B$5="ORD",D37,IF($B$5="CON",E37,IF($B$5="AGI",F37,G37))))</f>
        <v>0</v>
      </c>
      <c r="K37" s="32" t="n">
        <v>0</v>
      </c>
      <c r="L37" s="32" t="str">
        <f aca="false">IF(K37=0,"",IF(LEN(TRIM(Scheda_2!$D$13&amp;""))=0,"MANCANTE",IF(LEFT(LOWER(TRIM(Scheda_2!$D$13&amp;"")),7)="non not","NON NOTO","ok")))</f>
        <v/>
      </c>
    </row>
    <row r="38" customFormat="false" ht="15" hidden="false" customHeight="false" outlineLevel="0" collapsed="false">
      <c r="A38" s="16" t="s">
        <v>61</v>
      </c>
      <c r="B38" s="31" t="s">
        <v>62</v>
      </c>
      <c r="C38" s="16" t="s">
        <v>40</v>
      </c>
      <c r="D38" s="32"/>
      <c r="E38" s="32"/>
      <c r="F38" s="32"/>
      <c r="G38" s="32"/>
      <c r="H38" s="32" t="n">
        <v>1</v>
      </c>
      <c r="I38" s="32" t="n">
        <v>1</v>
      </c>
      <c r="J38" s="32" t="n">
        <f aca="false">IF($B$5="","",IF($B$5="ORD",D38,IF($B$5="CON",E38,IF($B$5="AGI",F38,G38))))</f>
        <v>0</v>
      </c>
      <c r="K38" s="32" t="n">
        <v>0</v>
      </c>
      <c r="L38" s="32" t="str">
        <f aca="false">IF(K38=0,"",IF(LEN(TRIM(Scheda_2!$D$14&amp;""))=0,"MANCANTE",IF(LEFT(LOWER(TRIM(Scheda_2!$D$14&amp;"")),7)="non not","NON NOTO","ok")))</f>
        <v/>
      </c>
    </row>
    <row r="39" customFormat="false" ht="15" hidden="false" customHeight="false" outlineLevel="0" collapsed="false">
      <c r="A39" s="16" t="s">
        <v>65</v>
      </c>
      <c r="B39" s="31" t="s">
        <v>66</v>
      </c>
      <c r="C39" s="16" t="s">
        <v>40</v>
      </c>
      <c r="D39" s="32"/>
      <c r="E39" s="32"/>
      <c r="F39" s="32"/>
      <c r="G39" s="32"/>
      <c r="H39" s="32" t="n">
        <v>1</v>
      </c>
      <c r="I39" s="32" t="n">
        <v>1</v>
      </c>
      <c r="J39" s="32" t="n">
        <f aca="false">IF($B$5="","",IF($B$5="ORD",D39,IF($B$5="CON",E39,IF($B$5="AGI",F39,G39))))</f>
        <v>0</v>
      </c>
      <c r="K39" s="32" t="n">
        <v>0</v>
      </c>
      <c r="L39" s="32" t="str">
        <f aca="false">IF(K39=0,"",IF(LEN(TRIM(Scheda_2!$D$15&amp;""))=0,"MANCANTE",IF(LEFT(LOWER(TRIM(Scheda_2!$D$15&amp;"")),7)="non not","NON NOTO","ok")))</f>
        <v/>
      </c>
    </row>
    <row r="40" customFormat="false" ht="15" hidden="false" customHeight="false" outlineLevel="0" collapsed="false">
      <c r="A40" s="16" t="s">
        <v>71</v>
      </c>
      <c r="B40" s="31" t="s">
        <v>73</v>
      </c>
      <c r="C40" s="16" t="s">
        <v>72</v>
      </c>
      <c r="D40" s="32" t="s">
        <v>795</v>
      </c>
      <c r="E40" s="32" t="s">
        <v>795</v>
      </c>
      <c r="F40" s="32" t="s">
        <v>795</v>
      </c>
      <c r="G40" s="32" t="s">
        <v>795</v>
      </c>
      <c r="H40" s="32" t="n">
        <v>1</v>
      </c>
      <c r="I40" s="32" t="n">
        <v>1</v>
      </c>
      <c r="J40" s="32" t="str">
        <f aca="false">IF($B$5="","",IF($B$5="ORD",D40,IF($B$5="CON",E40,IF($B$5="AGI",F40,G40))))</f>
        <v>X</v>
      </c>
      <c r="K40" s="32" t="n">
        <f aca="false">IF(H40=1,1,0)</f>
        <v>1</v>
      </c>
      <c r="L40" s="32" t="str">
        <f aca="false">IF(K40=0,"",IF(LEN(TRIM(Scheda_2!$D$18&amp;""))=0,"MANCANTE",IF(LEFT(LOWER(TRIM(Scheda_2!$D$18&amp;"")),7)="non not","NON NOTO","ok")))</f>
        <v>ok</v>
      </c>
    </row>
    <row r="41" customFormat="false" ht="15" hidden="false" customHeight="false" outlineLevel="0" collapsed="false">
      <c r="A41" s="16" t="s">
        <v>77</v>
      </c>
      <c r="B41" s="31" t="s">
        <v>78</v>
      </c>
      <c r="C41" s="16" t="s">
        <v>72</v>
      </c>
      <c r="D41" s="32" t="s">
        <v>795</v>
      </c>
      <c r="E41" s="32" t="s">
        <v>795</v>
      </c>
      <c r="F41" s="32" t="s">
        <v>795</v>
      </c>
      <c r="G41" s="32" t="s">
        <v>795</v>
      </c>
      <c r="H41" s="32" t="n">
        <v>1</v>
      </c>
      <c r="I41" s="32" t="n">
        <v>1</v>
      </c>
      <c r="J41" s="32" t="str">
        <f aca="false">IF($B$5="","",IF($B$5="ORD",D41,IF($B$5="CON",E41,IF($B$5="AGI",F41,G41))))</f>
        <v>X</v>
      </c>
      <c r="K41" s="32" t="n">
        <f aca="false">IF(H41=1,1,0)</f>
        <v>1</v>
      </c>
      <c r="L41" s="32" t="str">
        <f aca="false">IF(K41=0,"",IF(LEN(TRIM(Scheda_2!$D$19&amp;""))=0,"MANCANTE",IF(LEFT(LOWER(TRIM(Scheda_2!$D$19&amp;"")),7)="non not","NON NOTO","ok")))</f>
        <v>ok</v>
      </c>
    </row>
    <row r="42" customFormat="false" ht="15" hidden="false" customHeight="false" outlineLevel="0" collapsed="false">
      <c r="A42" s="16" t="s">
        <v>81</v>
      </c>
      <c r="B42" s="31" t="s">
        <v>82</v>
      </c>
      <c r="C42" s="16" t="s">
        <v>72</v>
      </c>
      <c r="D42" s="32" t="s">
        <v>795</v>
      </c>
      <c r="E42" s="32"/>
      <c r="F42" s="32"/>
      <c r="G42" s="32" t="s">
        <v>795</v>
      </c>
      <c r="H42" s="32" t="n">
        <v>1</v>
      </c>
      <c r="I42" s="32" t="n">
        <v>1</v>
      </c>
      <c r="J42" s="32" t="str">
        <f aca="false">IF($B$5="","",IF($B$5="ORD",D42,IF($B$5="CON",E42,IF($B$5="AGI",F42,G42))))</f>
        <v>X</v>
      </c>
      <c r="K42" s="32" t="n">
        <f aca="false">IF(OR(H42=0,I42=0,J42=""),0,IF(IF(J42="X",1,IF(J42="P",$B$6,IF(J42="C",$B$7,IF(J42="DR",$B$8,IF(J42="T",$B$9,0)))))=1,1,0))</f>
        <v>1</v>
      </c>
      <c r="L42" s="32" t="str">
        <f aca="false">IF(K42=0,"",IF(LEN(TRIM(Scheda_2!$D$20&amp;""))=0,"MANCANTE",IF(LEFT(LOWER(TRIM(Scheda_2!$D$20&amp;"")),7)="non not","NON NOTO","ok")))</f>
        <v>ok</v>
      </c>
    </row>
    <row r="43" customFormat="false" ht="15" hidden="false" customHeight="false" outlineLevel="0" collapsed="false">
      <c r="A43" s="16" t="s">
        <v>86</v>
      </c>
      <c r="B43" s="31" t="s">
        <v>87</v>
      </c>
      <c r="C43" s="16" t="s">
        <v>72</v>
      </c>
      <c r="D43" s="32" t="s">
        <v>795</v>
      </c>
      <c r="E43" s="32" t="s">
        <v>795</v>
      </c>
      <c r="F43" s="32"/>
      <c r="G43" s="32" t="s">
        <v>795</v>
      </c>
      <c r="H43" s="32" t="n">
        <v>1</v>
      </c>
      <c r="I43" s="32" t="n">
        <v>1</v>
      </c>
      <c r="J43" s="32" t="str">
        <f aca="false">IF($B$5="","",IF($B$5="ORD",D43,IF($B$5="CON",E43,IF($B$5="AGI",F43,G43))))</f>
        <v>X</v>
      </c>
      <c r="K43" s="32" t="n">
        <f aca="false">IF(OR(H43=0,I43=0,J43=""),0,IF(IF(J43="X",1,IF(J43="P",$B$6,IF(J43="C",$B$7,IF(J43="DR",$B$8,IF(J43="T",$B$9,0)))))=1,1,0))</f>
        <v>1</v>
      </c>
      <c r="L43" s="32" t="str">
        <f aca="false">IF(K43=0,"",IF(LEN(TRIM(Scheda_2!$D$21&amp;""))=0,"MANCANTE",IF(LEFT(LOWER(TRIM(Scheda_2!$D$21&amp;"")),7)="non not","NON NOTO","ok")))</f>
        <v>ok</v>
      </c>
    </row>
    <row r="44" customFormat="false" ht="15" hidden="false" customHeight="false" outlineLevel="0" collapsed="false">
      <c r="A44" s="16" t="s">
        <v>91</v>
      </c>
      <c r="B44" s="31" t="s">
        <v>92</v>
      </c>
      <c r="C44" s="16" t="s">
        <v>72</v>
      </c>
      <c r="D44" s="32" t="s">
        <v>795</v>
      </c>
      <c r="E44" s="32" t="s">
        <v>795</v>
      </c>
      <c r="F44" s="32" t="s">
        <v>795</v>
      </c>
      <c r="G44" s="32" t="s">
        <v>795</v>
      </c>
      <c r="H44" s="32" t="n">
        <v>1</v>
      </c>
      <c r="I44" s="32" t="n">
        <v>1</v>
      </c>
      <c r="J44" s="32" t="str">
        <f aca="false">IF($B$5="","",IF($B$5="ORD",D44,IF($B$5="CON",E44,IF($B$5="AGI",F44,G44))))</f>
        <v>X</v>
      </c>
      <c r="K44" s="32" t="n">
        <f aca="false">IF(OR(H44=0,I44=0,J44=""),0,IF(IF(J44="X",1,IF(J44="P",$B$6,IF(J44="C",$B$7,IF(J44="DR",$B$8,IF(J44="T",$B$9,0)))))=1,1,0))</f>
        <v>1</v>
      </c>
      <c r="L44" s="32" t="str">
        <f aca="false">IF(K44=0,"",IF(LEN(TRIM(Scheda_2!$D$22&amp;""))=0,"MANCANTE",IF(LEFT(LOWER(TRIM(Scheda_2!$D$22&amp;"")),7)="non not","NON NOTO","ok")))</f>
        <v>ok</v>
      </c>
    </row>
    <row r="45" customFormat="false" ht="15" hidden="false" customHeight="false" outlineLevel="0" collapsed="false">
      <c r="A45" s="16" t="s">
        <v>94</v>
      </c>
      <c r="B45" s="31" t="s">
        <v>95</v>
      </c>
      <c r="C45" s="16" t="s">
        <v>72</v>
      </c>
      <c r="D45" s="32" t="s">
        <v>795</v>
      </c>
      <c r="E45" s="32"/>
      <c r="F45" s="32"/>
      <c r="G45" s="32"/>
      <c r="H45" s="32" t="n">
        <v>1</v>
      </c>
      <c r="I45" s="32" t="n">
        <f aca="false">IF(Scheda_2!$D$19="PdC",1,0)</f>
        <v>0</v>
      </c>
      <c r="J45" s="32" t="str">
        <f aca="false">IF($B$5="","",IF($B$5="ORD",D45,IF($B$5="CON",E45,IF($B$5="AGI",F45,G45))))</f>
        <v>X</v>
      </c>
      <c r="K45" s="32" t="n">
        <f aca="false">IF(OR(H45=0,I45=0,J45=""),0,IF(IF(J45="X",1,IF(J45="P",$B$6,IF(J45="C",$B$7,IF(J45="DR",$B$8,IF(J45="T",$B$9,0)))))=1,1,0))</f>
        <v>0</v>
      </c>
      <c r="L45" s="32" t="str">
        <f aca="false">IF(K45=0,"",IF(LEN(TRIM(Scheda_2!$D$23&amp;""))=0,"MANCANTE",IF(LEFT(LOWER(TRIM(Scheda_2!$D$23&amp;"")),7)="non not","NON NOTO","ok")))</f>
        <v/>
      </c>
    </row>
    <row r="46" customFormat="false" ht="15" hidden="false" customHeight="false" outlineLevel="0" collapsed="false">
      <c r="A46" s="16" t="s">
        <v>100</v>
      </c>
      <c r="B46" s="31" t="s">
        <v>102</v>
      </c>
      <c r="C46" s="16" t="s">
        <v>101</v>
      </c>
      <c r="D46" s="32" t="s">
        <v>795</v>
      </c>
      <c r="E46" s="32" t="s">
        <v>795</v>
      </c>
      <c r="F46" s="32"/>
      <c r="G46" s="32" t="s">
        <v>795</v>
      </c>
      <c r="H46" s="32" t="n">
        <v>1</v>
      </c>
      <c r="I46" s="32" t="n">
        <v>1</v>
      </c>
      <c r="J46" s="32" t="str">
        <f aca="false">IF($B$5="","",IF($B$5="ORD",D46,IF($B$5="CON",E46,IF($B$5="AGI",F46,G46))))</f>
        <v>X</v>
      </c>
      <c r="K46" s="32" t="n">
        <f aca="false">IF(OR(H46=0,I46=0,J46=""),0,IF(IF(J46="X",1,IF(J46="P",$B$6,IF(J46="C",$B$7,IF(J46="DR",$B$8,IF(J46="T",$B$9,0)))))=1,1,0))</f>
        <v>1</v>
      </c>
      <c r="L46" s="32" t="str">
        <f aca="false">IF(K46=0,"",IF(LEN(TRIM(Scheda_2!$D$26&amp;""))=0,"MANCANTE",IF(LEFT(LOWER(TRIM(Scheda_2!$D$26&amp;"")),7)="non not","NON NOTO","ok")))</f>
        <v>ok</v>
      </c>
    </row>
    <row r="47" customFormat="false" ht="15" hidden="false" customHeight="false" outlineLevel="0" collapsed="false">
      <c r="A47" s="16" t="s">
        <v>105</v>
      </c>
      <c r="B47" s="31" t="s">
        <v>106</v>
      </c>
      <c r="C47" s="16" t="s">
        <v>101</v>
      </c>
      <c r="D47" s="32"/>
      <c r="E47" s="32"/>
      <c r="F47" s="32"/>
      <c r="G47" s="32"/>
      <c r="H47" s="32" t="n">
        <v>1</v>
      </c>
      <c r="I47" s="32" t="n">
        <v>1</v>
      </c>
      <c r="J47" s="32" t="n">
        <f aca="false">IF($B$5="","",IF($B$5="ORD",D47,IF($B$5="CON",E47,IF($B$5="AGI",F47,G47))))</f>
        <v>0</v>
      </c>
      <c r="K47" s="32" t="n">
        <v>0</v>
      </c>
      <c r="L47" s="32" t="str">
        <f aca="false">IF(K47=0,"",IF(LEN(TRIM(Scheda_2!$D$27&amp;""))=0,"MANCANTE",IF(LEFT(LOWER(TRIM(Scheda_2!$D$27&amp;"")),7)="non not","NON NOTO","ok")))</f>
        <v/>
      </c>
    </row>
    <row r="48" customFormat="false" ht="15" hidden="false" customHeight="false" outlineLevel="0" collapsed="false">
      <c r="A48" s="16" t="s">
        <v>108</v>
      </c>
      <c r="B48" s="31" t="s">
        <v>109</v>
      </c>
      <c r="C48" s="16" t="s">
        <v>101</v>
      </c>
      <c r="D48" s="32"/>
      <c r="E48" s="32"/>
      <c r="F48" s="32"/>
      <c r="G48" s="32"/>
      <c r="H48" s="32" t="n">
        <v>1</v>
      </c>
      <c r="I48" s="32" t="n">
        <v>1</v>
      </c>
      <c r="J48" s="32" t="n">
        <f aca="false">IF($B$5="","",IF($B$5="ORD",D48,IF($B$5="CON",E48,IF($B$5="AGI",F48,G48))))</f>
        <v>0</v>
      </c>
      <c r="K48" s="32" t="n">
        <f aca="false">IF(OR(H48=0,I48=0,J48=""),0,IF(IF(J48="X",1,IF(J48="P",$B$6,IF(J48="C",$B$7,IF(J48="DR",$B$8,IF(J48="T",$B$9,0)))))=1,1,0))</f>
        <v>0</v>
      </c>
      <c r="L48" s="32" t="str">
        <f aca="false">IF(K48=0,"",IF(LEN(TRIM(Scheda_2!$D$28&amp;""))=0,"MANCANTE",IF(LEFT(LOWER(TRIM(Scheda_2!$D$28&amp;"")),7)="non not","NON NOTO","ok")))</f>
        <v/>
      </c>
    </row>
    <row r="49" customFormat="false" ht="15" hidden="false" customHeight="false" outlineLevel="0" collapsed="false">
      <c r="A49" s="16" t="s">
        <v>112</v>
      </c>
      <c r="B49" s="31" t="s">
        <v>113</v>
      </c>
      <c r="C49" s="16" t="s">
        <v>101</v>
      </c>
      <c r="D49" s="32"/>
      <c r="E49" s="32"/>
      <c r="F49" s="32"/>
      <c r="G49" s="32"/>
      <c r="H49" s="32" t="n">
        <v>1</v>
      </c>
      <c r="I49" s="32" t="n">
        <v>1</v>
      </c>
      <c r="J49" s="32" t="n">
        <f aca="false">IF($B$5="","",IF($B$5="ORD",D49,IF($B$5="CON",E49,IF($B$5="AGI",F49,G49))))</f>
        <v>0</v>
      </c>
      <c r="K49" s="32" t="n">
        <v>0</v>
      </c>
      <c r="L49" s="32" t="str">
        <f aca="false">IF(K49=0,"",IF(LEN(TRIM(Scheda_2!$D$29&amp;""))=0,"MANCANTE",IF(LEFT(LOWER(TRIM(Scheda_2!$D$29&amp;"")),7)="non not","NON NOTO","ok")))</f>
        <v/>
      </c>
    </row>
    <row r="50" customFormat="false" ht="15" hidden="false" customHeight="false" outlineLevel="0" collapsed="false">
      <c r="A50" s="16" t="s">
        <v>115</v>
      </c>
      <c r="B50" s="31" t="s">
        <v>116</v>
      </c>
      <c r="C50" s="16" t="s">
        <v>101</v>
      </c>
      <c r="D50" s="32" t="s">
        <v>795</v>
      </c>
      <c r="E50" s="32" t="s">
        <v>795</v>
      </c>
      <c r="F50" s="32"/>
      <c r="G50" s="32" t="s">
        <v>795</v>
      </c>
      <c r="H50" s="32" t="n">
        <v>1</v>
      </c>
      <c r="I50" s="32" t="n">
        <v>1</v>
      </c>
      <c r="J50" s="32" t="str">
        <f aca="false">IF($B$5="","",IF($B$5="ORD",D50,IF($B$5="CON",E50,IF($B$5="AGI",F50,G50))))</f>
        <v>X</v>
      </c>
      <c r="K50" s="32" t="n">
        <f aca="false">IF(OR(H50=0,I50=0,J50=""),0,IF(IF(J50="X",1,IF(J50="P",$B$6,IF(J50="C",$B$7,IF(J50="DR",$B$8,IF(J50="T",$B$9,0)))))=1,1,0))</f>
        <v>1</v>
      </c>
      <c r="L50" s="32" t="str">
        <f aca="false">IF(K50=0,"",IF(LEN(TRIM(Scheda_2!$D$30&amp;""))=0,"MANCANTE",IF(LEFT(LOWER(TRIM(Scheda_2!$D$30&amp;"")),7)="non not","NON NOTO","ok")))</f>
        <v>ok</v>
      </c>
    </row>
    <row r="51" customFormat="false" ht="15" hidden="false" customHeight="false" outlineLevel="0" collapsed="false">
      <c r="A51" s="16" t="s">
        <v>119</v>
      </c>
      <c r="B51" s="31" t="s">
        <v>120</v>
      </c>
      <c r="C51" s="16" t="s">
        <v>101</v>
      </c>
      <c r="D51" s="32" t="s">
        <v>795</v>
      </c>
      <c r="E51" s="32" t="s">
        <v>795</v>
      </c>
      <c r="F51" s="32"/>
      <c r="G51" s="32" t="s">
        <v>795</v>
      </c>
      <c r="H51" s="32" t="n">
        <v>1</v>
      </c>
      <c r="I51" s="32" t="n">
        <v>1</v>
      </c>
      <c r="J51" s="32" t="str">
        <f aca="false">IF($B$5="","",IF($B$5="ORD",D51,IF($B$5="CON",E51,IF($B$5="AGI",F51,G51))))</f>
        <v>X</v>
      </c>
      <c r="K51" s="32" t="n">
        <f aca="false">IF(OR(H51=0,I51=0,J51=""),0,IF(IF(J51="X",1,IF(J51="P",$B$6,IF(J51="C",$B$7,IF(J51="DR",$B$8,IF(J51="T",$B$9,0)))))=1,1,0))</f>
        <v>1</v>
      </c>
      <c r="L51" s="32" t="str">
        <f aca="false">IF(K51=0,"",IF(LEN(TRIM(Scheda_2!$D$31&amp;""))=0,"MANCANTE",IF(LEFT(LOWER(TRIM(Scheda_2!$D$31&amp;"")),7)="non not","NON NOTO","ok")))</f>
        <v>ok</v>
      </c>
    </row>
    <row r="52" customFormat="false" ht="15" hidden="false" customHeight="false" outlineLevel="0" collapsed="false">
      <c r="A52" s="16" t="s">
        <v>123</v>
      </c>
      <c r="B52" s="31" t="s">
        <v>124</v>
      </c>
      <c r="C52" s="16" t="s">
        <v>101</v>
      </c>
      <c r="D52" s="32" t="s">
        <v>795</v>
      </c>
      <c r="E52" s="32" t="s">
        <v>795</v>
      </c>
      <c r="F52" s="32"/>
      <c r="G52" s="32" t="s">
        <v>795</v>
      </c>
      <c r="H52" s="32" t="n">
        <v>1</v>
      </c>
      <c r="I52" s="32" t="n">
        <v>1</v>
      </c>
      <c r="J52" s="32" t="str">
        <f aca="false">IF($B$5="","",IF($B$5="ORD",D52,IF($B$5="CON",E52,IF($B$5="AGI",F52,G52))))</f>
        <v>X</v>
      </c>
      <c r="K52" s="32" t="n">
        <f aca="false">IF(OR(H52=0,I52=0,J52=""),0,IF(IF(J52="X",1,IF(J52="P",$B$6,IF(J52="C",$B$7,IF(J52="DR",$B$8,IF(J52="T",$B$9,0)))))=1,1,0))</f>
        <v>1</v>
      </c>
      <c r="L52" s="32" t="str">
        <f aca="false">IF(K52=0,"",IF(LEN(TRIM(Scheda_2!$D$32&amp;""))=0,"MANCANTE",IF(LEFT(LOWER(TRIM(Scheda_2!$D$32&amp;"")),7)="non not","NON NOTO","ok")))</f>
        <v>ok</v>
      </c>
    </row>
    <row r="53" customFormat="false" ht="15" hidden="false" customHeight="false" outlineLevel="0" collapsed="false">
      <c r="A53" s="16" t="s">
        <v>127</v>
      </c>
      <c r="B53" s="31" t="s">
        <v>128</v>
      </c>
      <c r="C53" s="16" t="s">
        <v>101</v>
      </c>
      <c r="D53" s="32" t="s">
        <v>795</v>
      </c>
      <c r="E53" s="32" t="s">
        <v>795</v>
      </c>
      <c r="F53" s="32"/>
      <c r="G53" s="32" t="s">
        <v>795</v>
      </c>
      <c r="H53" s="32" t="n">
        <v>1</v>
      </c>
      <c r="I53" s="32" t="n">
        <v>1</v>
      </c>
      <c r="J53" s="32" t="str">
        <f aca="false">IF($B$5="","",IF($B$5="ORD",D53,IF($B$5="CON",E53,IF($B$5="AGI",F53,G53))))</f>
        <v>X</v>
      </c>
      <c r="K53" s="32" t="n">
        <f aca="false">IF(OR(H53=0,I53=0,J53=""),0,IF(IF(J53="X",1,IF(J53="P",$B$6,IF(J53="C",$B$7,IF(J53="DR",$B$8,IF(J53="T",$B$9,0)))))=1,1,0))</f>
        <v>1</v>
      </c>
      <c r="L53" s="32" t="str">
        <f aca="false">IF(K53=0,"",IF(LEN(TRIM(Scheda_2!$D$33&amp;""))=0,"MANCANTE",IF(LEFT(LOWER(TRIM(Scheda_2!$D$33&amp;"")),7)="non not","NON NOTO","ok")))</f>
        <v>ok</v>
      </c>
    </row>
    <row r="54" customFormat="false" ht="15" hidden="false" customHeight="false" outlineLevel="0" collapsed="false">
      <c r="A54" s="16" t="s">
        <v>129</v>
      </c>
      <c r="B54" s="31" t="s">
        <v>130</v>
      </c>
      <c r="C54" s="16" t="s">
        <v>101</v>
      </c>
      <c r="D54" s="32" t="s">
        <v>795</v>
      </c>
      <c r="E54" s="32" t="s">
        <v>795</v>
      </c>
      <c r="F54" s="32"/>
      <c r="G54" s="32" t="s">
        <v>795</v>
      </c>
      <c r="H54" s="32" t="n">
        <v>1</v>
      </c>
      <c r="I54" s="32" t="n">
        <v>1</v>
      </c>
      <c r="J54" s="32" t="str">
        <f aca="false">IF($B$5="","",IF($B$5="ORD",D54,IF($B$5="CON",E54,IF($B$5="AGI",F54,G54))))</f>
        <v>X</v>
      </c>
      <c r="K54" s="32" t="n">
        <f aca="false">IF(OR(H54=0,I54=0,J54=""),0,IF(IF(J54="X",1,IF(J54="P",$B$6,IF(J54="C",$B$7,IF(J54="DR",$B$8,IF(J54="T",$B$9,0)))))=1,1,0))</f>
        <v>1</v>
      </c>
      <c r="L54" s="32" t="str">
        <f aca="false">IF(K54=0,"",IF(LEN(TRIM(Scheda_2!$D$34&amp;""))=0,"MANCANTE",IF(LEFT(LOWER(TRIM(Scheda_2!$D$34&amp;"")),7)="non not","NON NOTO","ok")))</f>
        <v>ok</v>
      </c>
    </row>
    <row r="55" customFormat="false" ht="15" hidden="false" customHeight="false" outlineLevel="0" collapsed="false">
      <c r="A55" s="16" t="s">
        <v>131</v>
      </c>
      <c r="B55" s="31" t="s">
        <v>132</v>
      </c>
      <c r="C55" s="16" t="s">
        <v>101</v>
      </c>
      <c r="D55" s="32" t="s">
        <v>795</v>
      </c>
      <c r="E55" s="32" t="s">
        <v>795</v>
      </c>
      <c r="F55" s="32"/>
      <c r="G55" s="32" t="s">
        <v>795</v>
      </c>
      <c r="H55" s="32" t="n">
        <v>1</v>
      </c>
      <c r="I55" s="32" t="n">
        <v>1</v>
      </c>
      <c r="J55" s="32" t="str">
        <f aca="false">IF($B$5="","",IF($B$5="ORD",D55,IF($B$5="CON",E55,IF($B$5="AGI",F55,G55))))</f>
        <v>X</v>
      </c>
      <c r="K55" s="32" t="n">
        <f aca="false">IF(OR(H55=0,I55=0,J55=""),0,IF(IF(J55="X",1,IF(J55="P",$B$6,IF(J55="C",$B$7,IF(J55="DR",$B$8,IF(J55="T",$B$9,0)))))=1,1,0))</f>
        <v>1</v>
      </c>
      <c r="L55" s="32" t="str">
        <f aca="false">IF(K55=0,"",IF(LEN(TRIM(Scheda_2!$D$35&amp;""))=0,"MANCANTE",IF(LEFT(LOWER(TRIM(Scheda_2!$D$35&amp;"")),7)="non not","NON NOTO","ok")))</f>
        <v>ok</v>
      </c>
    </row>
    <row r="56" customFormat="false" ht="15" hidden="false" customHeight="false" outlineLevel="0" collapsed="false">
      <c r="A56" s="16" t="s">
        <v>134</v>
      </c>
      <c r="B56" s="31" t="s">
        <v>135</v>
      </c>
      <c r="C56" s="16" t="s">
        <v>101</v>
      </c>
      <c r="D56" s="32" t="s">
        <v>796</v>
      </c>
      <c r="E56" s="32" t="s">
        <v>795</v>
      </c>
      <c r="F56" s="32"/>
      <c r="G56" s="32" t="s">
        <v>796</v>
      </c>
      <c r="H56" s="32" t="n">
        <v>1</v>
      </c>
      <c r="I56" s="32" t="n">
        <v>1</v>
      </c>
      <c r="J56" s="32" t="str">
        <f aca="false">IF($B$5="","",IF($B$5="ORD",D56,IF($B$5="CON",E56,IF($B$5="AGI",F56,G56))))</f>
        <v>P</v>
      </c>
      <c r="K56" s="32" t="n">
        <f aca="false">IF(OR(H56=0,I56=0,J56=""),0,IF(IF(J56="X",1,IF(J56="P",$B$6,IF(J56="C",$B$7,IF(J56="DR",$B$8,IF(J56="T",$B$9,0)))))=1,1,0))</f>
        <v>0</v>
      </c>
      <c r="L56" s="32" t="str">
        <f aca="false">IF(K56=0,"",IF(LEN(TRIM(Scheda_2!$D$36&amp;""))=0,"MANCANTE",IF(LEFT(LOWER(TRIM(Scheda_2!$D$36&amp;"")),7)="non not","NON NOTO","ok")))</f>
        <v/>
      </c>
    </row>
    <row r="57" customFormat="false" ht="15" hidden="false" customHeight="false" outlineLevel="0" collapsed="false">
      <c r="A57" s="16" t="s">
        <v>138</v>
      </c>
      <c r="B57" s="31" t="s">
        <v>139</v>
      </c>
      <c r="C57" s="16" t="s">
        <v>101</v>
      </c>
      <c r="D57" s="32" t="s">
        <v>796</v>
      </c>
      <c r="E57" s="32"/>
      <c r="F57" s="32"/>
      <c r="G57" s="32" t="s">
        <v>796</v>
      </c>
      <c r="H57" s="32" t="n">
        <v>1</v>
      </c>
      <c r="I57" s="32" t="n">
        <f aca="false">IF(AND(Scheda_2!$D$36&lt;&gt;"",Scheda_2!$D$36&lt;&gt;"Nessuna",Scheda_2!$D$36&lt;&gt;"Non noto"),1,0)</f>
        <v>0</v>
      </c>
      <c r="J57" s="32" t="str">
        <f aca="false">IF($B$5="","",IF($B$5="ORD",D57,IF($B$5="CON",E57,IF($B$5="AGI",F57,G57))))</f>
        <v>P</v>
      </c>
      <c r="K57" s="32" t="n">
        <f aca="false">IF(OR(H57=0,I57=0,J57=""),0,IF(IF(J57="X",1,IF(J57="P",$B$6,IF(J57="C",$B$7,IF(J57="DR",$B$8,IF(J57="T",$B$9,0)))))=1,1,0))</f>
        <v>0</v>
      </c>
      <c r="L57" s="32" t="str">
        <f aca="false">IF(K57=0,"",IF(LEN(TRIM(Scheda_2!$D$37&amp;""))=0,"MANCANTE",IF(LEFT(LOWER(TRIM(Scheda_2!$D$37&amp;"")),7)="non not","NON NOTO","ok")))</f>
        <v/>
      </c>
    </row>
    <row r="58" customFormat="false" ht="15" hidden="false" customHeight="false" outlineLevel="0" collapsed="false">
      <c r="A58" s="16" t="s">
        <v>143</v>
      </c>
      <c r="B58" s="31" t="s">
        <v>144</v>
      </c>
      <c r="C58" s="16" t="s">
        <v>101</v>
      </c>
      <c r="D58" s="32" t="s">
        <v>795</v>
      </c>
      <c r="E58" s="32" t="s">
        <v>795</v>
      </c>
      <c r="F58" s="32"/>
      <c r="G58" s="32" t="s">
        <v>795</v>
      </c>
      <c r="H58" s="32" t="n">
        <v>1</v>
      </c>
      <c r="I58" s="32" t="n">
        <v>1</v>
      </c>
      <c r="J58" s="32" t="str">
        <f aca="false">IF($B$5="","",IF($B$5="ORD",D58,IF($B$5="CON",E58,IF($B$5="AGI",F58,G58))))</f>
        <v>X</v>
      </c>
      <c r="K58" s="32" t="n">
        <f aca="false">IF(OR(H58=0,I58=0,J58=""),0,IF(IF(J58="X",1,IF(J58="P",$B$6,IF(J58="C",$B$7,IF(J58="DR",$B$8,IF(J58="T",$B$9,0)))))=1,1,0))</f>
        <v>1</v>
      </c>
      <c r="L58" s="32" t="str">
        <f aca="false">IF(K58=0,"",IF(LEN(TRIM(Scheda_2!$D$38&amp;""))=0,"MANCANTE",IF(LEFT(LOWER(TRIM(Scheda_2!$D$38&amp;"")),7)="non not","NON NOTO","ok")))</f>
        <v>ok</v>
      </c>
    </row>
    <row r="59" customFormat="false" ht="15" hidden="false" customHeight="false" outlineLevel="0" collapsed="false">
      <c r="A59" s="16" t="s">
        <v>146</v>
      </c>
      <c r="B59" s="31" t="s">
        <v>147</v>
      </c>
      <c r="C59" s="16" t="s">
        <v>101</v>
      </c>
      <c r="D59" s="32"/>
      <c r="E59" s="32" t="s">
        <v>795</v>
      </c>
      <c r="F59" s="32"/>
      <c r="G59" s="32" t="s">
        <v>795</v>
      </c>
      <c r="H59" s="32" t="n">
        <v>1</v>
      </c>
      <c r="I59" s="32" t="n">
        <v>1</v>
      </c>
      <c r="J59" s="32" t="n">
        <f aca="false">IF($B$5="","",IF($B$5="ORD",D59,IF($B$5="CON",E59,IF($B$5="AGI",F59,G59))))</f>
        <v>0</v>
      </c>
      <c r="K59" s="32" t="n">
        <f aca="false">IF(OR(H59=0,I59=0,J59=""),0,IF(IF(J59="X",1,IF(J59="P",$B$6,IF(J59="C",$B$7,IF(J59="DR",$B$8,IF(J59="T",$B$9,0)))))=1,1,0))</f>
        <v>0</v>
      </c>
      <c r="L59" s="32" t="str">
        <f aca="false">IF(K59=0,"",IF(LEN(TRIM(Scheda_2!$D$39&amp;""))=0,"MANCANTE",IF(LEFT(LOWER(TRIM(Scheda_2!$D$39&amp;"")),7)="non not","NON NOTO","ok")))</f>
        <v/>
      </c>
    </row>
    <row r="60" customFormat="false" ht="15" hidden="false" customHeight="false" outlineLevel="0" collapsed="false">
      <c r="A60" s="16" t="s">
        <v>150</v>
      </c>
      <c r="B60" s="31" t="s">
        <v>151</v>
      </c>
      <c r="C60" s="16" t="s">
        <v>101</v>
      </c>
      <c r="D60" s="32"/>
      <c r="E60" s="32" t="s">
        <v>795</v>
      </c>
      <c r="F60" s="32"/>
      <c r="G60" s="32" t="s">
        <v>795</v>
      </c>
      <c r="H60" s="32" t="n">
        <v>1</v>
      </c>
      <c r="I60" s="32" t="n">
        <v>1</v>
      </c>
      <c r="J60" s="32" t="n">
        <f aca="false">IF($B$5="","",IF($B$5="ORD",D60,IF($B$5="CON",E60,IF($B$5="AGI",F60,G60))))</f>
        <v>0</v>
      </c>
      <c r="K60" s="32" t="n">
        <f aca="false">IF(OR(H60=0,I60=0,J60=""),0,IF(IF(J60="X",1,IF(J60="P",$B$6,IF(J60="C",$B$7,IF(J60="DR",$B$8,IF(J60="T",$B$9,0)))))=1,1,0))</f>
        <v>0</v>
      </c>
      <c r="L60" s="32" t="str">
        <f aca="false">IF(K60=0,"",IF(LEN(TRIM(Scheda_2!$D$40&amp;""))=0,"MANCANTE",IF(LEFT(LOWER(TRIM(Scheda_2!$D$40&amp;"")),7)="non not","NON NOTO","ok")))</f>
        <v/>
      </c>
    </row>
    <row r="61" customFormat="false" ht="15" hidden="false" customHeight="false" outlineLevel="0" collapsed="false">
      <c r="A61" s="16" t="s">
        <v>153</v>
      </c>
      <c r="B61" s="31" t="s">
        <v>154</v>
      </c>
      <c r="C61" s="16" t="s">
        <v>101</v>
      </c>
      <c r="D61" s="32"/>
      <c r="E61" s="32" t="s">
        <v>795</v>
      </c>
      <c r="F61" s="32"/>
      <c r="G61" s="32" t="s">
        <v>795</v>
      </c>
      <c r="H61" s="32" t="n">
        <v>1</v>
      </c>
      <c r="I61" s="32" t="n">
        <v>1</v>
      </c>
      <c r="J61" s="32" t="n">
        <f aca="false">IF($B$5="","",IF($B$5="ORD",D61,IF($B$5="CON",E61,IF($B$5="AGI",F61,G61))))</f>
        <v>0</v>
      </c>
      <c r="K61" s="32" t="n">
        <f aca="false">IF(OR(H61=0,I61=0,J61=""),0,IF(IF(J61="X",1,IF(J61="P",$B$6,IF(J61="C",$B$7,IF(J61="DR",$B$8,IF(J61="T",$B$9,0)))))=1,1,0))</f>
        <v>0</v>
      </c>
      <c r="L61" s="32" t="str">
        <f aca="false">IF(K61=0,"",IF(LEN(TRIM(Scheda_2!$D$41&amp;""))=0,"MANCANTE",IF(LEFT(LOWER(TRIM(Scheda_2!$D$41&amp;"")),7)="non not","NON NOTO","ok")))</f>
        <v/>
      </c>
    </row>
    <row r="62" customFormat="false" ht="15" hidden="false" customHeight="false" outlineLevel="0" collapsed="false">
      <c r="A62" s="16" t="s">
        <v>155</v>
      </c>
      <c r="B62" s="31" t="s">
        <v>156</v>
      </c>
      <c r="C62" s="16" t="s">
        <v>101</v>
      </c>
      <c r="D62" s="32" t="s">
        <v>795</v>
      </c>
      <c r="E62" s="32"/>
      <c r="F62" s="32"/>
      <c r="G62" s="32" t="s">
        <v>795</v>
      </c>
      <c r="H62" s="32" t="n">
        <v>1</v>
      </c>
      <c r="I62" s="32" t="n">
        <v>1</v>
      </c>
      <c r="J62" s="32" t="str">
        <f aca="false">IF($B$5="","",IF($B$5="ORD",D62,IF($B$5="CON",E62,IF($B$5="AGI",F62,G62))))</f>
        <v>X</v>
      </c>
      <c r="K62" s="32" t="n">
        <f aca="false">IF(OR(H62=0,I62=0,J62=""),0,IF(IF(J62="X",1,IF(J62="P",$B$6,IF(J62="C",$B$7,IF(J62="DR",$B$8,IF(J62="T",$B$9,0)))))=1,1,0))</f>
        <v>1</v>
      </c>
      <c r="L62" s="32" t="str">
        <f aca="false">IF(K62=0,"",IF(LEN(TRIM(Scheda_2!$D$42&amp;""))=0,"MANCANTE",IF(LEFT(LOWER(TRIM(Scheda_2!$D$42&amp;"")),7)="non not","NON NOTO","ok")))</f>
        <v>ok</v>
      </c>
    </row>
    <row r="63" customFormat="false" ht="15" hidden="false" customHeight="false" outlineLevel="0" collapsed="false">
      <c r="A63" s="16" t="s">
        <v>159</v>
      </c>
      <c r="B63" s="31" t="s">
        <v>160</v>
      </c>
      <c r="C63" s="16" t="s">
        <v>101</v>
      </c>
      <c r="D63" s="32" t="s">
        <v>795</v>
      </c>
      <c r="E63" s="32"/>
      <c r="F63" s="32"/>
      <c r="G63" s="32" t="s">
        <v>795</v>
      </c>
      <c r="H63" s="32" t="n">
        <v>1</v>
      </c>
      <c r="I63" s="32" t="n">
        <f aca="false">IF(OR(Scheda_2!$D$42="Allegato A (esclusa)",Scheda_2!$D$42="Allegato B (semplificata)"),1,0)</f>
        <v>1</v>
      </c>
      <c r="J63" s="32" t="str">
        <f aca="false">IF($B$5="","",IF($B$5="ORD",D63,IF($B$5="CON",E63,IF($B$5="AGI",F63,G63))))</f>
        <v>X</v>
      </c>
      <c r="K63" s="32" t="n">
        <f aca="false">IF(OR(H63=0,I63=0,J63=""),0,IF(IF(J63="X",1,IF(J63="P",$B$6,IF(J63="C",$B$7,IF(J63="DR",$B$8,IF(J63="T",$B$9,0)))))=1,1,0))</f>
        <v>1</v>
      </c>
      <c r="L63" s="32" t="str">
        <f aca="false">IF(K63=0,"",IF(LEN(TRIM(Scheda_2!$D$43&amp;""))=0,"MANCANTE",IF(LEFT(LOWER(TRIM(Scheda_2!$D$43&amp;"")),7)="non not","NON NOTO","ok")))</f>
        <v>MANCANTE</v>
      </c>
    </row>
    <row r="64" customFormat="false" ht="15" hidden="false" customHeight="false" outlineLevel="0" collapsed="false">
      <c r="A64" s="16" t="s">
        <v>165</v>
      </c>
      <c r="B64" s="31" t="s">
        <v>167</v>
      </c>
      <c r="C64" s="16" t="s">
        <v>166</v>
      </c>
      <c r="D64" s="32" t="s">
        <v>795</v>
      </c>
      <c r="E64" s="32" t="s">
        <v>795</v>
      </c>
      <c r="F64" s="32"/>
      <c r="G64" s="32" t="s">
        <v>795</v>
      </c>
      <c r="H64" s="32" t="n">
        <v>1</v>
      </c>
      <c r="I64" s="32" t="n">
        <v>1</v>
      </c>
      <c r="J64" s="32" t="str">
        <f aca="false">IF($B$5="","",IF($B$5="ORD",D64,IF($B$5="CON",E64,IF($B$5="AGI",F64,G64))))</f>
        <v>X</v>
      </c>
      <c r="K64" s="32" t="n">
        <f aca="false">IF(OR(H64=0,I64=0,J64=""),0,IF(IF(J64="X",1,IF(J64="P",$B$6,IF(J64="C",$B$7,IF(J64="DR",$B$8,IF(J64="T",$B$9,0)))))=1,1,0))</f>
        <v>1</v>
      </c>
      <c r="L64" s="32" t="str">
        <f aca="false">IF(K64=0,"",IF(LEN(TRIM(Scheda_2!$D$46&amp;""))=0,"MANCANTE",IF(LEFT(LOWER(TRIM(Scheda_2!$D$46&amp;"")),7)="non not","NON NOTO","ok")))</f>
        <v>ok</v>
      </c>
    </row>
    <row r="65" customFormat="false" ht="15" hidden="false" customHeight="false" outlineLevel="0" collapsed="false">
      <c r="A65" s="16" t="s">
        <v>170</v>
      </c>
      <c r="B65" s="31" t="s">
        <v>171</v>
      </c>
      <c r="C65" s="16" t="s">
        <v>166</v>
      </c>
      <c r="D65" s="32" t="s">
        <v>795</v>
      </c>
      <c r="E65" s="32" t="s">
        <v>795</v>
      </c>
      <c r="F65" s="32"/>
      <c r="G65" s="32" t="s">
        <v>795</v>
      </c>
      <c r="H65" s="32" t="n">
        <v>1</v>
      </c>
      <c r="I65" s="32" t="n">
        <v>1</v>
      </c>
      <c r="J65" s="32" t="str">
        <f aca="false">IF($B$5="","",IF($B$5="ORD",D65,IF($B$5="CON",E65,IF($B$5="AGI",F65,G65))))</f>
        <v>X</v>
      </c>
      <c r="K65" s="32" t="n">
        <f aca="false">IF(OR(H65=0,I65=0,J65=""),0,IF(IF(J65="X",1,IF(J65="P",$B$6,IF(J65="C",$B$7,IF(J65="DR",$B$8,IF(J65="T",$B$9,0)))))=1,1,0))</f>
        <v>1</v>
      </c>
      <c r="L65" s="32" t="str">
        <f aca="false">IF(K65=0,"",IF(LEN(TRIM(Scheda_2!$D$47&amp;""))=0,"MANCANTE",IF(LEFT(LOWER(TRIM(Scheda_2!$D$47&amp;"")),7)="non not","NON NOTO","ok")))</f>
        <v>ok</v>
      </c>
    </row>
    <row r="66" customFormat="false" ht="15" hidden="false" customHeight="false" outlineLevel="0" collapsed="false">
      <c r="A66" s="16" t="s">
        <v>173</v>
      </c>
      <c r="B66" s="31" t="s">
        <v>174</v>
      </c>
      <c r="C66" s="16" t="s">
        <v>166</v>
      </c>
      <c r="D66" s="32" t="s">
        <v>795</v>
      </c>
      <c r="E66" s="32" t="s">
        <v>795</v>
      </c>
      <c r="F66" s="32"/>
      <c r="G66" s="32" t="s">
        <v>795</v>
      </c>
      <c r="H66" s="32" t="n">
        <v>1</v>
      </c>
      <c r="I66" s="32" t="n">
        <f aca="false">IF(OR(AND(Scheda_2!$D$46&lt;&gt;"",Scheda_2!$D$46&lt;&gt;"Nessuno",Scheda_2!$D$46&lt;&gt;"Non noto"),AND(Scheda_2!$D$47&lt;&gt;"",Scheda_2!$D$47&lt;&gt;"Nessuno",Scheda_2!$D$47&lt;&gt;"Non noto")),1,0)</f>
        <v>1</v>
      </c>
      <c r="J66" s="32" t="str">
        <f aca="false">IF($B$5="","",IF($B$5="ORD",D66,IF($B$5="CON",E66,IF($B$5="AGI",F66,G66))))</f>
        <v>X</v>
      </c>
      <c r="K66" s="32" t="n">
        <f aca="false">IF(OR(H66=0,I66=0,J66=""),0,IF(IF(J66="X",1,IF(J66="P",$B$6,IF(J66="C",$B$7,IF(J66="DR",$B$8,IF(J66="T",$B$9,0)))))=1,1,0))</f>
        <v>1</v>
      </c>
      <c r="L66" s="32" t="str">
        <f aca="false">IF(K66=0,"",IF(LEN(TRIM(Scheda_2!$D$48&amp;""))=0,"MANCANTE",IF(LEFT(LOWER(TRIM(Scheda_2!$D$48&amp;"")),7)="non not","NON NOTO","ok")))</f>
        <v>NON NOTO</v>
      </c>
    </row>
    <row r="67" customFormat="false" ht="15" hidden="false" customHeight="false" outlineLevel="0" collapsed="false">
      <c r="A67" s="16" t="s">
        <v>177</v>
      </c>
      <c r="B67" s="31" t="s">
        <v>178</v>
      </c>
      <c r="C67" s="16" t="s">
        <v>166</v>
      </c>
      <c r="D67" s="32" t="s">
        <v>796</v>
      </c>
      <c r="E67" s="32"/>
      <c r="F67" s="32"/>
      <c r="G67" s="32" t="s">
        <v>796</v>
      </c>
      <c r="H67" s="32" t="n">
        <v>1</v>
      </c>
      <c r="I67" s="32" t="n">
        <v>1</v>
      </c>
      <c r="J67" s="32" t="str">
        <f aca="false">IF($B$5="","",IF($B$5="ORD",D67,IF($B$5="CON",E67,IF($B$5="AGI",F67,G67))))</f>
        <v>P</v>
      </c>
      <c r="K67" s="32" t="n">
        <f aca="false">IF(OR(H67=0,I67=0,J67=""),0,IF(IF(J67="X",1,IF(J67="P",$B$6,IF(J67="C",$B$7,IF(J67="DR",$B$8,IF(J67="T",$B$9,0)))))=1,1,0))</f>
        <v>0</v>
      </c>
      <c r="L67" s="32" t="str">
        <f aca="false">IF(K67=0,"",IF(LEN(TRIM(Scheda_2!$D$49&amp;""))=0,"MANCANTE",IF(LEFT(LOWER(TRIM(Scheda_2!$D$49&amp;"")),7)="non not","NON NOTO","ok")))</f>
        <v/>
      </c>
    </row>
    <row r="68" customFormat="false" ht="15" hidden="false" customHeight="false" outlineLevel="0" collapsed="false">
      <c r="A68" s="16" t="s">
        <v>181</v>
      </c>
      <c r="B68" s="31" t="s">
        <v>182</v>
      </c>
      <c r="C68" s="16" t="s">
        <v>166</v>
      </c>
      <c r="D68" s="32" t="s">
        <v>796</v>
      </c>
      <c r="E68" s="32"/>
      <c r="F68" s="32"/>
      <c r="G68" s="32" t="s">
        <v>796</v>
      </c>
      <c r="H68" s="32" t="n">
        <v>1</v>
      </c>
      <c r="I68" s="32" t="n">
        <v>1</v>
      </c>
      <c r="J68" s="32" t="str">
        <f aca="false">IF($B$5="","",IF($B$5="ORD",D68,IF($B$5="CON",E68,IF($B$5="AGI",F68,G68))))</f>
        <v>P</v>
      </c>
      <c r="K68" s="32" t="n">
        <f aca="false">IF(OR(H68=0,I68=0,J68=""),0,IF(IF(J68="X",1,IF(J68="P",$B$6,IF(J68="C",$B$7,IF(J68="DR",$B$8,IF(J68="T",$B$9,0)))))=1,1,0))</f>
        <v>0</v>
      </c>
      <c r="L68" s="32" t="str">
        <f aca="false">IF(K68=0,"",IF(LEN(TRIM(Scheda_2!$D$50&amp;""))=0,"MANCANTE",IF(LEFT(LOWER(TRIM(Scheda_2!$D$50&amp;"")),7)="non not","NON NOTO","ok")))</f>
        <v/>
      </c>
    </row>
    <row r="69" customFormat="false" ht="15" hidden="false" customHeight="false" outlineLevel="0" collapsed="false">
      <c r="A69" s="16" t="s">
        <v>183</v>
      </c>
      <c r="B69" s="31" t="s">
        <v>184</v>
      </c>
      <c r="C69" s="16" t="s">
        <v>166</v>
      </c>
      <c r="D69" s="32" t="s">
        <v>796</v>
      </c>
      <c r="E69" s="32"/>
      <c r="F69" s="32"/>
      <c r="G69" s="32" t="s">
        <v>796</v>
      </c>
      <c r="H69" s="32" t="n">
        <v>1</v>
      </c>
      <c r="I69" s="32" t="n">
        <v>1</v>
      </c>
      <c r="J69" s="32" t="str">
        <f aca="false">IF($B$5="","",IF($B$5="ORD",D69,IF($B$5="CON",E69,IF($B$5="AGI",F69,G69))))</f>
        <v>P</v>
      </c>
      <c r="K69" s="32" t="n">
        <f aca="false">IF(OR(H69=0,I69=0,J69=""),0,IF(IF(J69="X",1,IF(J69="P",$B$6,IF(J69="C",$B$7,IF(J69="DR",$B$8,IF(J69="T",$B$9,0)))))=1,1,0))</f>
        <v>0</v>
      </c>
      <c r="L69" s="32" t="str">
        <f aca="false">IF(K69=0,"",IF(LEN(TRIM(Scheda_2!$D$51&amp;""))=0,"MANCANTE",IF(LEFT(LOWER(TRIM(Scheda_2!$D$51&amp;"")),7)="non not","NON NOTO","ok")))</f>
        <v/>
      </c>
    </row>
    <row r="70" customFormat="false" ht="15" hidden="false" customHeight="false" outlineLevel="0" collapsed="false">
      <c r="A70" s="16" t="s">
        <v>186</v>
      </c>
      <c r="B70" s="31" t="s">
        <v>187</v>
      </c>
      <c r="C70" s="16" t="s">
        <v>166</v>
      </c>
      <c r="D70" s="32" t="s">
        <v>795</v>
      </c>
      <c r="E70" s="32"/>
      <c r="F70" s="32"/>
      <c r="G70" s="32" t="s">
        <v>795</v>
      </c>
      <c r="H70" s="32" t="n">
        <v>1</v>
      </c>
      <c r="I70" s="32" t="n">
        <v>1</v>
      </c>
      <c r="J70" s="32" t="str">
        <f aca="false">IF($B$5="","",IF($B$5="ORD",D70,IF($B$5="CON",E70,IF($B$5="AGI",F70,G70))))</f>
        <v>X</v>
      </c>
      <c r="K70" s="32" t="n">
        <f aca="false">IF(OR(H70=0,I70=0,J70=""),0,IF(IF(J70="X",1,IF(J70="P",$B$6,IF(J70="C",$B$7,IF(J70="DR",$B$8,IF(J70="T",$B$9,0)))))=1,1,0))</f>
        <v>1</v>
      </c>
      <c r="L70" s="32" t="str">
        <f aca="false">IF(K70=0,"",IF(LEN(TRIM(Scheda_2!$D$52&amp;""))=0,"MANCANTE",IF(LEFT(LOWER(TRIM(Scheda_2!$D$52&amp;"")),7)="non not","NON NOTO","ok")))</f>
        <v>ok</v>
      </c>
    </row>
    <row r="71" customFormat="false" ht="15" hidden="false" customHeight="false" outlineLevel="0" collapsed="false">
      <c r="A71" s="16" t="s">
        <v>189</v>
      </c>
      <c r="B71" s="31" t="s">
        <v>190</v>
      </c>
      <c r="C71" s="16" t="s">
        <v>166</v>
      </c>
      <c r="D71" s="32" t="s">
        <v>795</v>
      </c>
      <c r="E71" s="32"/>
      <c r="F71" s="32"/>
      <c r="G71" s="32" t="s">
        <v>795</v>
      </c>
      <c r="H71" s="32" t="n">
        <v>1</v>
      </c>
      <c r="I71" s="32" t="n">
        <f aca="false">IF(Scheda_2!$D$52="Sì",1,0)</f>
        <v>0</v>
      </c>
      <c r="J71" s="32" t="str">
        <f aca="false">IF($B$5="","",IF($B$5="ORD",D71,IF($B$5="CON",E71,IF($B$5="AGI",F71,G71))))</f>
        <v>X</v>
      </c>
      <c r="K71" s="32" t="n">
        <f aca="false">IF(OR(H71=0,I71=0,J71=""),0,IF(IF(J71="X",1,IF(J71="P",$B$6,IF(J71="C",$B$7,IF(J71="DR",$B$8,IF(J71="T",$B$9,0)))))=1,1,0))</f>
        <v>0</v>
      </c>
      <c r="L71" s="32" t="str">
        <f aca="false">IF(K71=0,"",IF(LEN(TRIM(Scheda_2!$D$53&amp;""))=0,"MANCANTE",IF(LEFT(LOWER(TRIM(Scheda_2!$D$53&amp;"")),7)="non not","NON NOTO","ok")))</f>
        <v/>
      </c>
    </row>
    <row r="72" customFormat="false" ht="15" hidden="false" customHeight="false" outlineLevel="0" collapsed="false">
      <c r="A72" s="16" t="s">
        <v>194</v>
      </c>
      <c r="B72" s="31" t="s">
        <v>196</v>
      </c>
      <c r="C72" s="16" t="s">
        <v>195</v>
      </c>
      <c r="D72" s="32" t="s">
        <v>795</v>
      </c>
      <c r="E72" s="32"/>
      <c r="F72" s="32" t="s">
        <v>795</v>
      </c>
      <c r="G72" s="32" t="s">
        <v>795</v>
      </c>
      <c r="H72" s="32" t="n">
        <v>1</v>
      </c>
      <c r="I72" s="32" t="n">
        <v>1</v>
      </c>
      <c r="J72" s="32" t="str">
        <f aca="false">IF($B$5="","",IF($B$5="ORD",D72,IF($B$5="CON",E72,IF($B$5="AGI",F72,G72))))</f>
        <v>X</v>
      </c>
      <c r="K72" s="32" t="n">
        <f aca="false">IF(OR(H72=0,I72=0,J72=""),0,IF(IF(J72="X",1,IF(J72="P",$B$6,IF(J72="C",$B$7,IF(J72="DR",$B$8,IF(J72="T",$B$9,0)))))=1,1,0))</f>
        <v>1</v>
      </c>
      <c r="L72" s="32" t="str">
        <f aca="false">IF(K72=0,"",IF(LEN(TRIM(Scheda_2!$D$55&amp;""))=0,"MANCANTE",IF(LEFT(LOWER(TRIM(Scheda_2!$D$55&amp;"")),7)="non not","NON NOTO","ok")))</f>
        <v>ok</v>
      </c>
    </row>
    <row r="73" customFormat="false" ht="15" hidden="false" customHeight="false" outlineLevel="0" collapsed="false">
      <c r="A73" s="16" t="s">
        <v>200</v>
      </c>
      <c r="B73" s="31" t="s">
        <v>201</v>
      </c>
      <c r="C73" s="16" t="s">
        <v>195</v>
      </c>
      <c r="D73" s="32" t="s">
        <v>795</v>
      </c>
      <c r="E73" s="32"/>
      <c r="F73" s="32" t="s">
        <v>795</v>
      </c>
      <c r="G73" s="32" t="s">
        <v>795</v>
      </c>
      <c r="H73" s="32" t="n">
        <v>1</v>
      </c>
      <c r="I73" s="32" t="n">
        <f aca="false">IF(AND(Scheda_2!$D$55&lt;&gt;"",Scheda_2!$D$55&lt;&gt;"Non noto",LEFT(Scheda_2!$D$55,6)&lt;&gt;"Nessun"),1,0)</f>
        <v>0</v>
      </c>
      <c r="J73" s="32" t="str">
        <f aca="false">IF($B$5="","",IF($B$5="ORD",D73,IF($B$5="CON",E73,IF($B$5="AGI",F73,G73))))</f>
        <v>X</v>
      </c>
      <c r="K73" s="32" t="n">
        <f aca="false">IF(OR(H73=0,I73=0,J73=""),0,IF(IF(J73="X",1,IF(J73="P",$B$6,IF(J73="C",$B$7,IF(J73="DR",$B$8,IF(J73="T",$B$9,0)))))=1,1,0))</f>
        <v>0</v>
      </c>
      <c r="L73" s="32" t="str">
        <f aca="false">IF(K73=0,"",IF(LEN(TRIM(Scheda_2!$D$56&amp;""))=0,"MANCANTE",IF(LEFT(LOWER(TRIM(Scheda_2!$D$56&amp;"")),7)="non not","NON NOTO","ok")))</f>
        <v/>
      </c>
    </row>
    <row r="74" customFormat="false" ht="15" hidden="false" customHeight="false" outlineLevel="0" collapsed="false">
      <c r="A74" s="16" t="s">
        <v>204</v>
      </c>
      <c r="B74" s="31" t="s">
        <v>205</v>
      </c>
      <c r="C74" s="16" t="s">
        <v>195</v>
      </c>
      <c r="D74" s="32" t="s">
        <v>795</v>
      </c>
      <c r="E74" s="32" t="s">
        <v>795</v>
      </c>
      <c r="F74" s="32"/>
      <c r="G74" s="32" t="s">
        <v>795</v>
      </c>
      <c r="H74" s="32" t="n">
        <v>1</v>
      </c>
      <c r="I74" s="32" t="n">
        <v>1</v>
      </c>
      <c r="J74" s="32" t="str">
        <f aca="false">IF($B$5="","",IF($B$5="ORD",D74,IF($B$5="CON",E74,IF($B$5="AGI",F74,G74))))</f>
        <v>X</v>
      </c>
      <c r="K74" s="32" t="n">
        <f aca="false">IF(OR(H74=0,I74=0,J74=""),0,IF(IF(J74="X",1,IF(J74="P",$B$6,IF(J74="C",$B$7,IF(J74="DR",$B$8,IF(J74="T",$B$9,0)))))=1,1,0))</f>
        <v>1</v>
      </c>
      <c r="L74" s="32" t="str">
        <f aca="false">IF(K74=0,"",IF(LEN(TRIM(Scheda_2!$D$57&amp;""))=0,"MANCANTE",IF(LEFT(LOWER(TRIM(Scheda_2!$D$57&amp;"")),7)="non not","NON NOTO","ok")))</f>
        <v>ok</v>
      </c>
    </row>
    <row r="75" customFormat="false" ht="15" hidden="false" customHeight="false" outlineLevel="0" collapsed="false">
      <c r="A75" s="16" t="s">
        <v>208</v>
      </c>
      <c r="B75" s="31" t="s">
        <v>209</v>
      </c>
      <c r="C75" s="16" t="s">
        <v>195</v>
      </c>
      <c r="D75" s="32" t="s">
        <v>795</v>
      </c>
      <c r="E75" s="32"/>
      <c r="F75" s="32" t="s">
        <v>795</v>
      </c>
      <c r="G75" s="32" t="s">
        <v>795</v>
      </c>
      <c r="H75" s="32" t="n">
        <v>1</v>
      </c>
      <c r="I75" s="32" t="n">
        <v>1</v>
      </c>
      <c r="J75" s="32" t="str">
        <f aca="false">IF($B$5="","",IF($B$5="ORD",D75,IF($B$5="CON",E75,IF($B$5="AGI",F75,G75))))</f>
        <v>X</v>
      </c>
      <c r="K75" s="32" t="n">
        <f aca="false">IF(OR(H75=0,I75=0,J75=""),0,IF(IF(J75="X",1,IF(J75="P",$B$6,IF(J75="C",$B$7,IF(J75="DR",$B$8,IF(J75="T",$B$9,0)))))=1,1,0))</f>
        <v>1</v>
      </c>
      <c r="L75" s="32" t="str">
        <f aca="false">IF(K75=0,"",IF(LEN(TRIM(Scheda_2!$D$58&amp;""))=0,"MANCANTE",IF(LEFT(LOWER(TRIM(Scheda_2!$D$58&amp;"")),7)="non not","NON NOTO","ok")))</f>
        <v>ok</v>
      </c>
    </row>
    <row r="76" customFormat="false" ht="15" hidden="false" customHeight="false" outlineLevel="0" collapsed="false">
      <c r="A76" s="16" t="s">
        <v>211</v>
      </c>
      <c r="B76" s="31" t="s">
        <v>212</v>
      </c>
      <c r="C76" s="16" t="s">
        <v>195</v>
      </c>
      <c r="D76" s="32" t="s">
        <v>795</v>
      </c>
      <c r="E76" s="32"/>
      <c r="F76" s="32"/>
      <c r="G76" s="32" t="s">
        <v>795</v>
      </c>
      <c r="H76" s="32" t="n">
        <v>1</v>
      </c>
      <c r="I76" s="32" t="n">
        <v>1</v>
      </c>
      <c r="J76" s="32" t="str">
        <f aca="false">IF($B$5="","",IF($B$5="ORD",D76,IF($B$5="CON",E76,IF($B$5="AGI",F76,G76))))</f>
        <v>X</v>
      </c>
      <c r="K76" s="32" t="n">
        <f aca="false">IF(OR(H76=0,I76=0,J76=""),0,IF(IF(J76="X",1,IF(J76="P",$B$6,IF(J76="C",$B$7,IF(J76="DR",$B$8,IF(J76="T",$B$9,0)))))=1,1,0))</f>
        <v>1</v>
      </c>
      <c r="L76" s="32" t="str">
        <f aca="false">IF(K76=0,"",IF(LEN(TRIM(Scheda_2!$D$59&amp;""))=0,"MANCANTE",IF(LEFT(LOWER(TRIM(Scheda_2!$D$59&amp;"")),7)="non not","NON NOTO","ok")))</f>
        <v>ok</v>
      </c>
    </row>
    <row r="77" customFormat="false" ht="15" hidden="false" customHeight="false" outlineLevel="0" collapsed="false">
      <c r="A77" s="16" t="s">
        <v>215</v>
      </c>
      <c r="B77" s="31" t="s">
        <v>216</v>
      </c>
      <c r="C77" s="16" t="s">
        <v>195</v>
      </c>
      <c r="D77" s="32" t="s">
        <v>795</v>
      </c>
      <c r="E77" s="32" t="s">
        <v>795</v>
      </c>
      <c r="F77" s="32" t="s">
        <v>795</v>
      </c>
      <c r="G77" s="32" t="s">
        <v>795</v>
      </c>
      <c r="H77" s="32" t="n">
        <v>1</v>
      </c>
      <c r="I77" s="32" t="n">
        <v>1</v>
      </c>
      <c r="J77" s="32" t="str">
        <f aca="false">IF($B$5="","",IF($B$5="ORD",D77,IF($B$5="CON",E77,IF($B$5="AGI",F77,G77))))</f>
        <v>X</v>
      </c>
      <c r="K77" s="32" t="n">
        <f aca="false">IF(OR(H77=0,I77=0,J77=""),0,IF(IF(J77="X",1,IF(J77="P",$B$6,IF(J77="C",$B$7,IF(J77="DR",$B$8,IF(J77="T",$B$9,0)))))=1,1,0))</f>
        <v>1</v>
      </c>
      <c r="L77" s="32" t="str">
        <f aca="false">IF(K77=0,"",IF(LEN(TRIM(Scheda_2!$D$60&amp;""))=0,"MANCANTE",IF(LEFT(LOWER(TRIM(Scheda_2!$D$60&amp;"")),7)="non not","NON NOTO","ok")))</f>
        <v>ok</v>
      </c>
    </row>
    <row r="78" customFormat="false" ht="15" hidden="false" customHeight="false" outlineLevel="0" collapsed="false">
      <c r="A78" s="16" t="s">
        <v>218</v>
      </c>
      <c r="B78" s="31" t="s">
        <v>219</v>
      </c>
      <c r="C78" s="16" t="s">
        <v>195</v>
      </c>
      <c r="D78" s="32" t="s">
        <v>795</v>
      </c>
      <c r="E78" s="32" t="s">
        <v>795</v>
      </c>
      <c r="F78" s="32" t="s">
        <v>795</v>
      </c>
      <c r="G78" s="32" t="s">
        <v>795</v>
      </c>
      <c r="H78" s="32" t="n">
        <v>1</v>
      </c>
      <c r="I78" s="32" t="n">
        <f aca="false">IF(Scheda_2!$D$60="Sì",1,0)</f>
        <v>1</v>
      </c>
      <c r="J78" s="32" t="str">
        <f aca="false">IF($B$5="","",IF($B$5="ORD",D78,IF($B$5="CON",E78,IF($B$5="AGI",F78,G78))))</f>
        <v>X</v>
      </c>
      <c r="K78" s="32" t="n">
        <f aca="false">IF(OR(H78=0,I78=0,J78=""),0,IF(IF(J78="X",1,IF(J78="P",$B$6,IF(J78="C",$B$7,IF(J78="DR",$B$8,IF(J78="T",$B$9,0)))))=1,1,0))</f>
        <v>1</v>
      </c>
      <c r="L78" s="32" t="str">
        <f aca="false">IF(K78=0,"",IF(LEN(TRIM(Scheda_2!$D$61&amp;""))=0,"MANCANTE",IF(LEFT(LOWER(TRIM(Scheda_2!$D$61&amp;"")),7)="non not","NON NOTO","ok")))</f>
        <v>ok</v>
      </c>
    </row>
    <row r="79" customFormat="false" ht="15" hidden="false" customHeight="false" outlineLevel="0" collapsed="false">
      <c r="A79" s="16" t="s">
        <v>222</v>
      </c>
      <c r="B79" s="31" t="s">
        <v>223</v>
      </c>
      <c r="C79" s="16" t="s">
        <v>195</v>
      </c>
      <c r="D79" s="32"/>
      <c r="E79" s="32" t="s">
        <v>795</v>
      </c>
      <c r="F79" s="32"/>
      <c r="G79" s="32" t="s">
        <v>795</v>
      </c>
      <c r="H79" s="32" t="n">
        <v>1</v>
      </c>
      <c r="I79" s="32" t="n">
        <v>1</v>
      </c>
      <c r="J79" s="32" t="n">
        <f aca="false">IF($B$5="","",IF($B$5="ORD",D79,IF($B$5="CON",E79,IF($B$5="AGI",F79,G79))))</f>
        <v>0</v>
      </c>
      <c r="K79" s="32" t="n">
        <f aca="false">IF(OR(H79=0,I79=0,J79=""),0,IF(IF(J79="X",1,IF(J79="P",$B$6,IF(J79="C",$B$7,IF(J79="DR",$B$8,IF(J79="T",$B$9,0)))))=1,1,0))</f>
        <v>0</v>
      </c>
      <c r="L79" s="32" t="str">
        <f aca="false">IF(K79=0,"",IF(LEN(TRIM(Scheda_2!$D$62&amp;""))=0,"MANCANTE",IF(LEFT(LOWER(TRIM(Scheda_2!$D$62&amp;"")),7)="non not","NON NOTO","ok")))</f>
        <v/>
      </c>
    </row>
    <row r="80" customFormat="false" ht="15" hidden="false" customHeight="false" outlineLevel="0" collapsed="false">
      <c r="A80" s="16" t="s">
        <v>225</v>
      </c>
      <c r="B80" s="31" t="s">
        <v>226</v>
      </c>
      <c r="C80" s="16" t="s">
        <v>195</v>
      </c>
      <c r="D80" s="32"/>
      <c r="E80" s="32" t="s">
        <v>795</v>
      </c>
      <c r="F80" s="32" t="s">
        <v>795</v>
      </c>
      <c r="G80" s="32" t="s">
        <v>795</v>
      </c>
      <c r="H80" s="32" t="n">
        <v>1</v>
      </c>
      <c r="I80" s="32" t="n">
        <v>1</v>
      </c>
      <c r="J80" s="32" t="n">
        <f aca="false">IF($B$5="","",IF($B$5="ORD",D80,IF($B$5="CON",E80,IF($B$5="AGI",F80,G80))))</f>
        <v>0</v>
      </c>
      <c r="K80" s="32" t="n">
        <f aca="false">IF(OR(H80=0,I80=0,J80=""),0,IF(IF(J80="X",1,IF(J80="P",$B$6,IF(J80="C",$B$7,IF(J80="DR",$B$8,IF(J80="T",$B$9,0)))))=1,1,0))</f>
        <v>0</v>
      </c>
      <c r="L80" s="32" t="str">
        <f aca="false">IF(K80=0,"",IF(LEN(TRIM(Scheda_2!$D$63&amp;""))=0,"MANCANTE",IF(LEFT(LOWER(TRIM(Scheda_2!$D$63&amp;"")),7)="non not","NON NOTO","ok")))</f>
        <v/>
      </c>
    </row>
    <row r="81" customFormat="false" ht="15" hidden="false" customHeight="false" outlineLevel="0" collapsed="false">
      <c r="A81" s="16" t="s">
        <v>229</v>
      </c>
      <c r="B81" s="31" t="s">
        <v>230</v>
      </c>
      <c r="C81" s="16" t="s">
        <v>195</v>
      </c>
      <c r="D81" s="32"/>
      <c r="E81" s="32" t="s">
        <v>795</v>
      </c>
      <c r="F81" s="32"/>
      <c r="G81" s="32" t="s">
        <v>795</v>
      </c>
      <c r="H81" s="32" t="n">
        <v>1</v>
      </c>
      <c r="I81" s="32" t="n">
        <v>1</v>
      </c>
      <c r="J81" s="32" t="n">
        <f aca="false">IF($B$5="","",IF($B$5="ORD",D81,IF($B$5="CON",E81,IF($B$5="AGI",F81,G81))))</f>
        <v>0</v>
      </c>
      <c r="K81" s="32" t="n">
        <f aca="false">IF(OR(H81=0,I81=0,J81=""),0,IF(IF(J81="X",1,IF(J81="P",$B$6,IF(J81="C",$B$7,IF(J81="DR",$B$8,IF(J81="T",$B$9,0)))))=1,1,0))</f>
        <v>0</v>
      </c>
      <c r="L81" s="32" t="str">
        <f aca="false">IF(K81=0,"",IF(LEN(TRIM(Scheda_2!$D$64&amp;""))=0,"MANCANTE",IF(LEFT(LOWER(TRIM(Scheda_2!$D$64&amp;"")),7)="non not","NON NOTO","ok")))</f>
        <v/>
      </c>
    </row>
    <row r="82" customFormat="false" ht="15" hidden="false" customHeight="false" outlineLevel="0" collapsed="false">
      <c r="A82" s="16" t="s">
        <v>232</v>
      </c>
      <c r="B82" s="31" t="s">
        <v>233</v>
      </c>
      <c r="C82" s="16" t="s">
        <v>195</v>
      </c>
      <c r="D82" s="32"/>
      <c r="E82" s="32"/>
      <c r="F82" s="32"/>
      <c r="G82" s="32" t="s">
        <v>795</v>
      </c>
      <c r="H82" s="32" t="n">
        <v>1</v>
      </c>
      <c r="I82" s="32" t="n">
        <f aca="false">IF(Scheda_2!$D$60="Sì",1,0)</f>
        <v>1</v>
      </c>
      <c r="J82" s="32" t="n">
        <f aca="false">IF($B$5="","",IF($B$5="ORD",D82,IF($B$5="CON",E82,IF($B$5="AGI",F82,G82))))</f>
        <v>0</v>
      </c>
      <c r="K82" s="32" t="n">
        <f aca="false">IF(OR(H82=0,I82=0,J82=""),0,IF(IF(J82="X",1,IF(J82="P",$B$6,IF(J82="C",$B$7,IF(J82="DR",$B$8,IF(J82="T",$B$9,0)))))=1,1,0))</f>
        <v>0</v>
      </c>
      <c r="L82" s="32" t="str">
        <f aca="false">IF(K82=0,"",IF(LEN(TRIM(Scheda_2!$D$65&amp;""))=0,"MANCANTE",IF(LEFT(LOWER(TRIM(Scheda_2!$D$65&amp;"")),7)="non not","NON NOTO","ok")))</f>
        <v/>
      </c>
    </row>
    <row r="83" customFormat="false" ht="15" hidden="false" customHeight="false" outlineLevel="0" collapsed="false">
      <c r="A83" s="16" t="s">
        <v>237</v>
      </c>
      <c r="B83" s="31" t="s">
        <v>238</v>
      </c>
      <c r="C83" s="16" t="s">
        <v>195</v>
      </c>
      <c r="D83" s="32"/>
      <c r="E83" s="32"/>
      <c r="F83" s="32"/>
      <c r="G83" s="32" t="s">
        <v>795</v>
      </c>
      <c r="H83" s="32" t="n">
        <v>1</v>
      </c>
      <c r="I83" s="32" t="n">
        <f aca="false">IF(Scheda_2!$D$60="Sì",1,0)</f>
        <v>1</v>
      </c>
      <c r="J83" s="32" t="n">
        <f aca="false">IF($B$5="","",IF($B$5="ORD",D83,IF($B$5="CON",E83,IF($B$5="AGI",F83,G83))))</f>
        <v>0</v>
      </c>
      <c r="K83" s="32" t="n">
        <f aca="false">IF(OR(H83=0,I83=0,J83=""),0,IF(IF(J83="X",1,IF(J83="P",$B$6,IF(J83="C",$B$7,IF(J83="DR",$B$8,IF(J83="T",$B$9,0)))))=1,1,0))</f>
        <v>0</v>
      </c>
      <c r="L83" s="32" t="str">
        <f aca="false">IF(K83=0,"",IF(LEN(TRIM(Scheda_2!$D$66&amp;""))=0,"MANCANTE",IF(LEFT(LOWER(TRIM(Scheda_2!$D$66&amp;"")),7)="non not","NON NOTO","ok")))</f>
        <v/>
      </c>
    </row>
    <row r="84" customFormat="false" ht="15" hidden="false" customHeight="false" outlineLevel="0" collapsed="false">
      <c r="A84" s="16" t="s">
        <v>241</v>
      </c>
      <c r="B84" s="31" t="s">
        <v>242</v>
      </c>
      <c r="C84" s="16" t="s">
        <v>195</v>
      </c>
      <c r="D84" s="32"/>
      <c r="E84" s="32"/>
      <c r="F84" s="32"/>
      <c r="G84" s="32" t="s">
        <v>795</v>
      </c>
      <c r="H84" s="32" t="n">
        <v>1</v>
      </c>
      <c r="I84" s="32" t="n">
        <f aca="false">IF(Scheda_2!$D$60="Sì",1,0)</f>
        <v>1</v>
      </c>
      <c r="J84" s="32" t="n">
        <f aca="false">IF($B$5="","",IF($B$5="ORD",D84,IF($B$5="CON",E84,IF($B$5="AGI",F84,G84))))</f>
        <v>0</v>
      </c>
      <c r="K84" s="32" t="n">
        <f aca="false">IF(OR(H84=0,I84=0,J84=""),0,IF(IF(J84="X",1,IF(J84="P",$B$6,IF(J84="C",$B$7,IF(J84="DR",$B$8,IF(J84="T",$B$9,0)))))=1,1,0))</f>
        <v>0</v>
      </c>
      <c r="L84" s="32" t="str">
        <f aca="false">IF(K84=0,"",IF(LEN(TRIM(Scheda_2!$D$67&amp;""))=0,"MANCANTE",IF(LEFT(LOWER(TRIM(Scheda_2!$D$67&amp;"")),7)="non not","NON NOTO","ok")))</f>
        <v/>
      </c>
    </row>
    <row r="85" customFormat="false" ht="15" hidden="false" customHeight="false" outlineLevel="0" collapsed="false">
      <c r="A85" s="16" t="s">
        <v>243</v>
      </c>
      <c r="B85" s="31" t="s">
        <v>244</v>
      </c>
      <c r="C85" s="16" t="s">
        <v>195</v>
      </c>
      <c r="D85" s="32"/>
      <c r="E85" s="32"/>
      <c r="F85" s="32"/>
      <c r="G85" s="32" t="s">
        <v>795</v>
      </c>
      <c r="H85" s="32" t="n">
        <v>1</v>
      </c>
      <c r="I85" s="32" t="n">
        <f aca="false">IF(Scheda_2!$D$60="Sì",1,0)</f>
        <v>1</v>
      </c>
      <c r="J85" s="32" t="n">
        <f aca="false">IF($B$5="","",IF($B$5="ORD",D85,IF($B$5="CON",E85,IF($B$5="AGI",F85,G85))))</f>
        <v>0</v>
      </c>
      <c r="K85" s="32" t="n">
        <f aca="false">IF(OR(H85=0,I85=0,J85=""),0,IF(IF(J85="X",1,IF(J85="P",$B$6,IF(J85="C",$B$7,IF(J85="DR",$B$8,IF(J85="T",$B$9,0)))))=1,1,0))</f>
        <v>0</v>
      </c>
      <c r="L85" s="32" t="str">
        <f aca="false">IF(K85=0,"",IF(LEN(TRIM(Scheda_2!$D$68&amp;""))=0,"MANCANTE",IF(LEFT(LOWER(TRIM(Scheda_2!$D$68&amp;"")),7)="non not","NON NOTO","ok")))</f>
        <v/>
      </c>
    </row>
    <row r="86" customFormat="false" ht="15" hidden="false" customHeight="false" outlineLevel="0" collapsed="false">
      <c r="A86" s="16" t="s">
        <v>246</v>
      </c>
      <c r="B86" s="31" t="s">
        <v>247</v>
      </c>
      <c r="C86" s="16" t="s">
        <v>195</v>
      </c>
      <c r="D86" s="32"/>
      <c r="E86" s="32"/>
      <c r="F86" s="32"/>
      <c r="G86" s="32" t="s">
        <v>795</v>
      </c>
      <c r="H86" s="32" t="n">
        <v>1</v>
      </c>
      <c r="I86" s="32" t="n">
        <f aca="false">IF(Scheda_2!$D$60="Sì",1,0)</f>
        <v>1</v>
      </c>
      <c r="J86" s="32" t="n">
        <f aca="false">IF($B$5="","",IF($B$5="ORD",D86,IF($B$5="CON",E86,IF($B$5="AGI",F86,G86))))</f>
        <v>0</v>
      </c>
      <c r="K86" s="32" t="n">
        <f aca="false">IF(OR(H86=0,I86=0,J86=""),0,IF(IF(J86="X",1,IF(J86="P",$B$6,IF(J86="C",$B$7,IF(J86="DR",$B$8,IF(J86="T",$B$9,0)))))=1,1,0))</f>
        <v>0</v>
      </c>
      <c r="L86" s="32" t="str">
        <f aca="false">IF(K86=0,"",IF(LEN(TRIM(Scheda_2!$D$69&amp;""))=0,"MANCANTE",IF(LEFT(LOWER(TRIM(Scheda_2!$D$69&amp;"")),7)="non not","NON NOTO","ok")))</f>
        <v/>
      </c>
    </row>
    <row r="87" customFormat="false" ht="15" hidden="false" customHeight="false" outlineLevel="0" collapsed="false">
      <c r="A87" s="16" t="s">
        <v>248</v>
      </c>
      <c r="B87" s="31" t="s">
        <v>249</v>
      </c>
      <c r="C87" s="16" t="s">
        <v>195</v>
      </c>
      <c r="D87" s="32"/>
      <c r="E87" s="32"/>
      <c r="F87" s="32"/>
      <c r="G87" s="32" t="s">
        <v>795</v>
      </c>
      <c r="H87" s="32" t="n">
        <v>1</v>
      </c>
      <c r="I87" s="32" t="n">
        <f aca="false">IF(Scheda_2!$D$60="Sì",1,0)</f>
        <v>1</v>
      </c>
      <c r="J87" s="32" t="n">
        <f aca="false">IF($B$5="","",IF($B$5="ORD",D87,IF($B$5="CON",E87,IF($B$5="AGI",F87,G87))))</f>
        <v>0</v>
      </c>
      <c r="K87" s="32" t="n">
        <f aca="false">IF(OR(H87=0,I87=0,J87=""),0,IF(IF(J87="X",1,IF(J87="P",$B$6,IF(J87="C",$B$7,IF(J87="DR",$B$8,IF(J87="T",$B$9,0)))))=1,1,0))</f>
        <v>0</v>
      </c>
      <c r="L87" s="32" t="str">
        <f aca="false">IF(K87=0,"",IF(LEN(TRIM(Scheda_2!$D$70&amp;""))=0,"MANCANTE",IF(LEFT(LOWER(TRIM(Scheda_2!$D$70&amp;"")),7)="non not","NON NOTO","ok")))</f>
        <v/>
      </c>
    </row>
    <row r="88" customFormat="false" ht="15" hidden="false" customHeight="false" outlineLevel="0" collapsed="false">
      <c r="A88" s="16" t="s">
        <v>250</v>
      </c>
      <c r="B88" s="31" t="s">
        <v>251</v>
      </c>
      <c r="C88" s="16" t="s">
        <v>195</v>
      </c>
      <c r="D88" s="32"/>
      <c r="E88" s="32"/>
      <c r="F88" s="32"/>
      <c r="G88" s="32" t="s">
        <v>795</v>
      </c>
      <c r="H88" s="32" t="n">
        <v>1</v>
      </c>
      <c r="I88" s="32" t="n">
        <f aca="false">IF(Scheda_2!$D$60="Sì",1,0)</f>
        <v>1</v>
      </c>
      <c r="J88" s="32" t="n">
        <f aca="false">IF($B$5="","",IF($B$5="ORD",D88,IF($B$5="CON",E88,IF($B$5="AGI",F88,G88))))</f>
        <v>0</v>
      </c>
      <c r="K88" s="32" t="n">
        <f aca="false">IF(OR(H88=0,I88=0,J88=""),0,IF(IF(J88="X",1,IF(J88="P",$B$6,IF(J88="C",$B$7,IF(J88="DR",$B$8,IF(J88="T",$B$9,0)))))=1,1,0))</f>
        <v>0</v>
      </c>
      <c r="L88" s="32" t="str">
        <f aca="false">IF(K88=0,"",IF(LEN(TRIM(Scheda_2!$D$71&amp;""))=0,"MANCANTE",IF(LEFT(LOWER(TRIM(Scheda_2!$D$71&amp;"")),7)="non not","NON NOTO","ok")))</f>
        <v/>
      </c>
    </row>
    <row r="89" customFormat="false" ht="15" hidden="false" customHeight="false" outlineLevel="0" collapsed="false">
      <c r="A89" s="16" t="s">
        <v>252</v>
      </c>
      <c r="B89" s="31" t="s">
        <v>253</v>
      </c>
      <c r="C89" s="16" t="s">
        <v>195</v>
      </c>
      <c r="D89" s="32"/>
      <c r="E89" s="32"/>
      <c r="F89" s="32"/>
      <c r="G89" s="32" t="s">
        <v>795</v>
      </c>
      <c r="H89" s="32" t="n">
        <v>1</v>
      </c>
      <c r="I89" s="32" t="n">
        <f aca="false">IF(Scheda_2!$D$60="Sì",1,0)</f>
        <v>1</v>
      </c>
      <c r="J89" s="32" t="n">
        <f aca="false">IF($B$5="","",IF($B$5="ORD",D89,IF($B$5="CON",E89,IF($B$5="AGI",F89,G89))))</f>
        <v>0</v>
      </c>
      <c r="K89" s="32" t="n">
        <f aca="false">IF(OR(H89=0,I89=0,J89=""),0,IF(IF(J89="X",1,IF(J89="P",$B$6,IF(J89="C",$B$7,IF(J89="DR",$B$8,IF(J89="T",$B$9,0)))))=1,1,0))</f>
        <v>0</v>
      </c>
      <c r="L89" s="32" t="str">
        <f aca="false">IF(K89=0,"",IF(LEN(TRIM(Scheda_2!$D$72&amp;""))=0,"MANCANTE",IF(LEFT(LOWER(TRIM(Scheda_2!$D$72&amp;"")),7)="non not","NON NOTO","ok")))</f>
        <v/>
      </c>
    </row>
    <row r="90" customFormat="false" ht="15" hidden="false" customHeight="false" outlineLevel="0" collapsed="false">
      <c r="A90" s="16" t="s">
        <v>254</v>
      </c>
      <c r="B90" s="31" t="s">
        <v>255</v>
      </c>
      <c r="C90" s="16" t="s">
        <v>195</v>
      </c>
      <c r="D90" s="32"/>
      <c r="E90" s="32"/>
      <c r="F90" s="32"/>
      <c r="G90" s="32" t="s">
        <v>795</v>
      </c>
      <c r="H90" s="32" t="n">
        <v>1</v>
      </c>
      <c r="I90" s="32" t="n">
        <f aca="false">IF(Scheda_2!$D$60="Sì",1,0)</f>
        <v>1</v>
      </c>
      <c r="J90" s="32" t="n">
        <f aca="false">IF($B$5="","",IF($B$5="ORD",D90,IF($B$5="CON",E90,IF($B$5="AGI",F90,G90))))</f>
        <v>0</v>
      </c>
      <c r="K90" s="32" t="n">
        <f aca="false">IF(OR(H90=0,I90=0,J90=""),0,IF(IF(J90="X",1,IF(J90="P",$B$6,IF(J90="C",$B$7,IF(J90="DR",$B$8,IF(J90="T",$B$9,0)))))=1,1,0))</f>
        <v>0</v>
      </c>
      <c r="L90" s="32" t="str">
        <f aca="false">IF(K90=0,"",IF(LEN(TRIM(Scheda_2!$D$73&amp;""))=0,"MANCANTE",IF(LEFT(LOWER(TRIM(Scheda_2!$D$73&amp;"")),7)="non not","NON NOTO","ok")))</f>
        <v/>
      </c>
    </row>
    <row r="91" customFormat="false" ht="15" hidden="false" customHeight="false" outlineLevel="0" collapsed="false">
      <c r="A91" s="16" t="s">
        <v>256</v>
      </c>
      <c r="B91" s="31" t="s">
        <v>257</v>
      </c>
      <c r="C91" s="16" t="s">
        <v>195</v>
      </c>
      <c r="D91" s="32" t="s">
        <v>796</v>
      </c>
      <c r="E91" s="32"/>
      <c r="F91" s="32"/>
      <c r="G91" s="32"/>
      <c r="H91" s="32" t="n">
        <v>1</v>
      </c>
      <c r="I91" s="32" t="n">
        <v>1</v>
      </c>
      <c r="J91" s="32" t="str">
        <f aca="false">IF($B$5="","",IF($B$5="ORD",D91,IF($B$5="CON",E91,IF($B$5="AGI",F91,G91))))</f>
        <v>P</v>
      </c>
      <c r="K91" s="32" t="n">
        <f aca="false">IF(OR(H91=0,I91=0,J91=""),0,IF(IF(J91="X",1,IF(J91="P",$B$6,IF(J91="C",$B$7,IF(J91="DR",$B$8,IF(J91="T",$B$9,0)))))=1,1,0))</f>
        <v>0</v>
      </c>
      <c r="L91" s="32" t="str">
        <f aca="false">IF(K91=0,"",IF(LEN(TRIM(Scheda_2!$D$74&amp;""))=0,"MANCANTE",IF(LEFT(LOWER(TRIM(Scheda_2!$D$74&amp;"")),7)="non not","NON NOTO","ok")))</f>
        <v/>
      </c>
    </row>
    <row r="92" customFormat="false" ht="15" hidden="false" customHeight="false" outlineLevel="0" collapsed="false">
      <c r="A92" s="16" t="s">
        <v>260</v>
      </c>
      <c r="B92" s="31" t="s">
        <v>261</v>
      </c>
      <c r="C92" s="16" t="s">
        <v>195</v>
      </c>
      <c r="D92" s="32" t="s">
        <v>795</v>
      </c>
      <c r="E92" s="32" t="s">
        <v>795</v>
      </c>
      <c r="F92" s="32"/>
      <c r="G92" s="32" t="s">
        <v>795</v>
      </c>
      <c r="H92" s="32" t="n">
        <v>1</v>
      </c>
      <c r="I92" s="32" t="n">
        <f aca="false">IF(IFERROR(VLOOKUP(Scheda_2!$D$26,Elenchi!$J$2:$N$40,5,FALSE()),0)=1,1,0)</f>
        <v>0</v>
      </c>
      <c r="J92" s="32" t="str">
        <f aca="false">IF($B$5="","",IF($B$5="ORD",D92,IF($B$5="CON",E92,IF($B$5="AGI",F92,G92))))</f>
        <v>X</v>
      </c>
      <c r="K92" s="32" t="n">
        <f aca="false">IF(OR(H92=0,I92=0,J92=""),0,IF(IF(J92="X",1,IF(J92="P",$B$6,IF(J92="C",$B$7,IF(J92="DR",$B$8,IF(J92="T",$B$9,0)))))=1,1,0))</f>
        <v>0</v>
      </c>
      <c r="L92" s="32" t="str">
        <f aca="false">IF(K92=0,"",IF(LEN(TRIM(Scheda_2!$D$75&amp;""))=0,"MANCANTE",IF(LEFT(LOWER(TRIM(Scheda_2!$D$75&amp;"")),7)="non not","NON NOTO","ok")))</f>
        <v/>
      </c>
    </row>
    <row r="93" customFormat="false" ht="15" hidden="false" customHeight="false" outlineLevel="0" collapsed="false">
      <c r="A93" s="16" t="s">
        <v>264</v>
      </c>
      <c r="B93" s="31" t="s">
        <v>265</v>
      </c>
      <c r="C93" s="16" t="s">
        <v>195</v>
      </c>
      <c r="D93" s="32" t="s">
        <v>795</v>
      </c>
      <c r="E93" s="32"/>
      <c r="F93" s="32"/>
      <c r="G93" s="32"/>
      <c r="H93" s="32" t="n">
        <v>1</v>
      </c>
      <c r="I93" s="32" t="n">
        <f aca="false">IF(AND(IFERROR(VLOOKUP(Scheda_2!$D$26,Elenchi!$J$2:$N$40,5,FALSE()),0)=1,Scheda_2!$D$20="Nuova costruzione"),1,0)</f>
        <v>0</v>
      </c>
      <c r="J93" s="32" t="str">
        <f aca="false">IF($B$5="","",IF($B$5="ORD",D93,IF($B$5="CON",E93,IF($B$5="AGI",F93,G93))))</f>
        <v>X</v>
      </c>
      <c r="K93" s="32" t="n">
        <f aca="false">IF(OR(H93=0,I93=0,J93=""),0,IF(IF(J93="X",1,IF(J93="P",$B$6,IF(J93="C",$B$7,IF(J93="DR",$B$8,IF(J93="T",$B$9,0)))))=1,1,0))</f>
        <v>0</v>
      </c>
      <c r="L93" s="32" t="str">
        <f aca="false">IF(K93=0,"",IF(LEN(TRIM(Scheda_2!$D$76&amp;""))=0,"MANCANTE",IF(LEFT(LOWER(TRIM(Scheda_2!$D$76&amp;"")),7)="non not","NON NOTO","ok")))</f>
        <v/>
      </c>
    </row>
    <row r="94" customFormat="false" ht="15" hidden="false" customHeight="false" outlineLevel="0" collapsed="false">
      <c r="A94" s="16" t="s">
        <v>270</v>
      </c>
      <c r="B94" s="31" t="s">
        <v>272</v>
      </c>
      <c r="C94" s="16" t="s">
        <v>271</v>
      </c>
      <c r="D94" s="32" t="s">
        <v>796</v>
      </c>
      <c r="E94" s="32"/>
      <c r="F94" s="32"/>
      <c r="G94" s="32" t="s">
        <v>796</v>
      </c>
      <c r="H94" s="32" t="n">
        <v>1</v>
      </c>
      <c r="I94" s="32" t="n">
        <v>1</v>
      </c>
      <c r="J94" s="32" t="str">
        <f aca="false">IF($B$5="","",IF($B$5="ORD",D94,IF($B$5="CON",E94,IF($B$5="AGI",F94,G94))))</f>
        <v>P</v>
      </c>
      <c r="K94" s="32" t="n">
        <f aca="false">IF(OR(H94=0,I94=0,J94=""),0,IF(IF(J94="X",1,IF(J94="P",$B$6,IF(J94="C",$B$7,IF(J94="DR",$B$8,IF(J94="T",$B$9,0)))))=1,1,0))</f>
        <v>0</v>
      </c>
      <c r="L94" s="32" t="str">
        <f aca="false">IF(K94=0,"",IF(LEN(TRIM(Scheda_2!$D$79&amp;""))=0,"MANCANTE",IF(LEFT(LOWER(TRIM(Scheda_2!$D$79&amp;"")),7)="non not","NON NOTO","ok")))</f>
        <v/>
      </c>
    </row>
    <row r="95" customFormat="false" ht="15" hidden="false" customHeight="false" outlineLevel="0" collapsed="false">
      <c r="A95" s="16" t="s">
        <v>274</v>
      </c>
      <c r="B95" s="31" t="s">
        <v>275</v>
      </c>
      <c r="C95" s="16" t="s">
        <v>271</v>
      </c>
      <c r="D95" s="32" t="s">
        <v>796</v>
      </c>
      <c r="E95" s="32"/>
      <c r="F95" s="32"/>
      <c r="G95" s="32" t="s">
        <v>796</v>
      </c>
      <c r="H95" s="32" t="n">
        <v>1</v>
      </c>
      <c r="I95" s="32" t="n">
        <v>1</v>
      </c>
      <c r="J95" s="32" t="str">
        <f aca="false">IF($B$5="","",IF($B$5="ORD",D95,IF($B$5="CON",E95,IF($B$5="AGI",F95,G95))))</f>
        <v>P</v>
      </c>
      <c r="K95" s="32" t="n">
        <f aca="false">IF(OR(H95=0,I95=0,J95=""),0,IF(IF(J95="X",1,IF(J95="P",$B$6,IF(J95="C",$B$7,IF(J95="DR",$B$8,IF(J95="T",$B$9,0)))))=1,1,0))</f>
        <v>0</v>
      </c>
      <c r="L95" s="32" t="str">
        <f aca="false">IF(K95=0,"",IF(LEN(TRIM(Scheda_2!$D$80&amp;""))=0,"MANCANTE",IF(LEFT(LOWER(TRIM(Scheda_2!$D$80&amp;"")),7)="non not","NON NOTO","ok")))</f>
        <v/>
      </c>
    </row>
    <row r="96" customFormat="false" ht="15" hidden="false" customHeight="false" outlineLevel="0" collapsed="false">
      <c r="A96" s="16" t="s">
        <v>277</v>
      </c>
      <c r="B96" s="31" t="s">
        <v>278</v>
      </c>
      <c r="C96" s="16" t="s">
        <v>271</v>
      </c>
      <c r="D96" s="32" t="s">
        <v>796</v>
      </c>
      <c r="E96" s="32"/>
      <c r="F96" s="32"/>
      <c r="G96" s="32" t="s">
        <v>796</v>
      </c>
      <c r="H96" s="32" t="n">
        <v>1</v>
      </c>
      <c r="I96" s="32" t="n">
        <v>1</v>
      </c>
      <c r="J96" s="32" t="str">
        <f aca="false">IF($B$5="","",IF($B$5="ORD",D96,IF($B$5="CON",E96,IF($B$5="AGI",F96,G96))))</f>
        <v>P</v>
      </c>
      <c r="K96" s="32" t="n">
        <f aca="false">IF(OR(H96=0,I96=0,J96=""),0,IF(IF(J96="X",1,IF(J96="P",$B$6,IF(J96="C",$B$7,IF(J96="DR",$B$8,IF(J96="T",$B$9,0)))))=1,1,0))</f>
        <v>0</v>
      </c>
      <c r="L96" s="32" t="str">
        <f aca="false">IF(K96=0,"",IF(LEN(TRIM(Scheda_2!$D$81&amp;""))=0,"MANCANTE",IF(LEFT(LOWER(TRIM(Scheda_2!$D$81&amp;"")),7)="non not","NON NOTO","ok")))</f>
        <v/>
      </c>
    </row>
    <row r="97" customFormat="false" ht="15" hidden="false" customHeight="false" outlineLevel="0" collapsed="false">
      <c r="A97" s="16" t="s">
        <v>279</v>
      </c>
      <c r="B97" s="31" t="s">
        <v>280</v>
      </c>
      <c r="C97" s="16" t="s">
        <v>271</v>
      </c>
      <c r="D97" s="32" t="s">
        <v>796</v>
      </c>
      <c r="E97" s="32"/>
      <c r="F97" s="32"/>
      <c r="G97" s="32" t="s">
        <v>796</v>
      </c>
      <c r="H97" s="32" t="n">
        <v>1</v>
      </c>
      <c r="I97" s="32" t="n">
        <v>1</v>
      </c>
      <c r="J97" s="32" t="str">
        <f aca="false">IF($B$5="","",IF($B$5="ORD",D97,IF($B$5="CON",E97,IF($B$5="AGI",F97,G97))))</f>
        <v>P</v>
      </c>
      <c r="K97" s="32" t="n">
        <f aca="false">IF(OR(H97=0,I97=0,J97=""),0,IF(IF(J97="X",1,IF(J97="P",$B$6,IF(J97="C",$B$7,IF(J97="DR",$B$8,IF(J97="T",$B$9,0)))))=1,1,0))</f>
        <v>0</v>
      </c>
      <c r="L97" s="32" t="str">
        <f aca="false">IF(K97=0,"",IF(LEN(TRIM(Scheda_2!$D$82&amp;""))=0,"MANCANTE",IF(LEFT(LOWER(TRIM(Scheda_2!$D$82&amp;"")),7)="non not","NON NOTO","ok")))</f>
        <v/>
      </c>
    </row>
    <row r="98" customFormat="false" ht="15" hidden="false" customHeight="false" outlineLevel="0" collapsed="false">
      <c r="A98" s="16" t="s">
        <v>281</v>
      </c>
      <c r="B98" s="31" t="s">
        <v>282</v>
      </c>
      <c r="C98" s="16" t="s">
        <v>271</v>
      </c>
      <c r="D98" s="32" t="s">
        <v>796</v>
      </c>
      <c r="E98" s="32"/>
      <c r="F98" s="32"/>
      <c r="G98" s="32" t="s">
        <v>796</v>
      </c>
      <c r="H98" s="32" t="n">
        <v>1</v>
      </c>
      <c r="I98" s="32" t="n">
        <v>1</v>
      </c>
      <c r="J98" s="32" t="str">
        <f aca="false">IF($B$5="","",IF($B$5="ORD",D98,IF($B$5="CON",E98,IF($B$5="AGI",F98,G98))))</f>
        <v>P</v>
      </c>
      <c r="K98" s="32" t="n">
        <f aca="false">IF(OR(H98=0,I98=0,J98=""),0,IF(IF(J98="X",1,IF(J98="P",$B$6,IF(J98="C",$B$7,IF(J98="DR",$B$8,IF(J98="T",$B$9,0)))))=1,1,0))</f>
        <v>0</v>
      </c>
      <c r="L98" s="32" t="str">
        <f aca="false">IF(K98=0,"",IF(LEN(TRIM(Scheda_2!$D$83&amp;""))=0,"MANCANTE",IF(LEFT(LOWER(TRIM(Scheda_2!$D$83&amp;"")),7)="non not","NON NOTO","ok")))</f>
        <v/>
      </c>
    </row>
    <row r="99" customFormat="false" ht="15" hidden="false" customHeight="false" outlineLevel="0" collapsed="false">
      <c r="A99" s="16" t="s">
        <v>283</v>
      </c>
      <c r="B99" s="31" t="s">
        <v>284</v>
      </c>
      <c r="C99" s="16" t="s">
        <v>271</v>
      </c>
      <c r="D99" s="32" t="s">
        <v>796</v>
      </c>
      <c r="E99" s="32"/>
      <c r="F99" s="32"/>
      <c r="G99" s="32" t="s">
        <v>796</v>
      </c>
      <c r="H99" s="32" t="n">
        <v>1</v>
      </c>
      <c r="I99" s="32" t="n">
        <v>1</v>
      </c>
      <c r="J99" s="32" t="str">
        <f aca="false">IF($B$5="","",IF($B$5="ORD",D99,IF($B$5="CON",E99,IF($B$5="AGI",F99,G99))))</f>
        <v>P</v>
      </c>
      <c r="K99" s="32" t="n">
        <f aca="false">IF(OR(H99=0,I99=0,J99=""),0,IF(IF(J99="X",1,IF(J99="P",$B$6,IF(J99="C",$B$7,IF(J99="DR",$B$8,IF(J99="T",$B$9,0)))))=1,1,0))</f>
        <v>0</v>
      </c>
      <c r="L99" s="32" t="str">
        <f aca="false">IF(K99=0,"",IF(LEN(TRIM(Scheda_2!$D$84&amp;""))=0,"MANCANTE",IF(LEFT(LOWER(TRIM(Scheda_2!$D$84&amp;"")),7)="non not","NON NOTO","ok")))</f>
        <v/>
      </c>
    </row>
    <row r="100" customFormat="false" ht="15" hidden="false" customHeight="false" outlineLevel="0" collapsed="false">
      <c r="A100" s="16" t="s">
        <v>285</v>
      </c>
      <c r="B100" s="31" t="s">
        <v>286</v>
      </c>
      <c r="C100" s="16" t="s">
        <v>271</v>
      </c>
      <c r="D100" s="32" t="s">
        <v>796</v>
      </c>
      <c r="E100" s="32"/>
      <c r="F100" s="32"/>
      <c r="G100" s="32" t="s">
        <v>796</v>
      </c>
      <c r="H100" s="32" t="n">
        <v>1</v>
      </c>
      <c r="I100" s="32" t="n">
        <v>1</v>
      </c>
      <c r="J100" s="32" t="str">
        <f aca="false">IF($B$5="","",IF($B$5="ORD",D100,IF($B$5="CON",E100,IF($B$5="AGI",F100,G100))))</f>
        <v>P</v>
      </c>
      <c r="K100" s="32" t="n">
        <f aca="false">IF(OR(H100=0,I100=0,J100=""),0,IF(IF(J100="X",1,IF(J100="P",$B$6,IF(J100="C",$B$7,IF(J100="DR",$B$8,IF(J100="T",$B$9,0)))))=1,1,0))</f>
        <v>0</v>
      </c>
      <c r="L100" s="32" t="str">
        <f aca="false">IF(K100=0,"",IF(LEN(TRIM(Scheda_2!$D$85&amp;""))=0,"MANCANTE",IF(LEFT(LOWER(TRIM(Scheda_2!$D$85&amp;"")),7)="non not","NON NOTO","ok")))</f>
        <v/>
      </c>
    </row>
    <row r="101" customFormat="false" ht="15" hidden="false" customHeight="false" outlineLevel="0" collapsed="false">
      <c r="A101" s="16" t="s">
        <v>287</v>
      </c>
      <c r="B101" s="31" t="s">
        <v>288</v>
      </c>
      <c r="C101" s="16" t="s">
        <v>271</v>
      </c>
      <c r="D101" s="32" t="s">
        <v>796</v>
      </c>
      <c r="E101" s="32"/>
      <c r="F101" s="32"/>
      <c r="G101" s="32" t="s">
        <v>796</v>
      </c>
      <c r="H101" s="32" t="n">
        <v>1</v>
      </c>
      <c r="I101" s="32" t="n">
        <v>1</v>
      </c>
      <c r="J101" s="32" t="str">
        <f aca="false">IF($B$5="","",IF($B$5="ORD",D101,IF($B$5="CON",E101,IF($B$5="AGI",F101,G101))))</f>
        <v>P</v>
      </c>
      <c r="K101" s="32" t="n">
        <f aca="false">IF(OR(H101=0,I101=0,J101=""),0,IF(IF(J101="X",1,IF(J101="P",$B$6,IF(J101="C",$B$7,IF(J101="DR",$B$8,IF(J101="T",$B$9,0)))))=1,1,0))</f>
        <v>0</v>
      </c>
      <c r="L101" s="32" t="str">
        <f aca="false">IF(K101=0,"",IF(LEN(TRIM(Scheda_2!$D$86&amp;""))=0,"MANCANTE",IF(LEFT(LOWER(TRIM(Scheda_2!$D$86&amp;"")),7)="non not","NON NOTO","ok")))</f>
        <v/>
      </c>
    </row>
    <row r="102" customFormat="false" ht="15" hidden="false" customHeight="false" outlineLevel="0" collapsed="false">
      <c r="A102" s="16" t="s">
        <v>289</v>
      </c>
      <c r="B102" s="31" t="s">
        <v>290</v>
      </c>
      <c r="C102" s="16" t="s">
        <v>271</v>
      </c>
      <c r="D102" s="32" t="s">
        <v>796</v>
      </c>
      <c r="E102" s="32"/>
      <c r="F102" s="32"/>
      <c r="G102" s="32" t="s">
        <v>796</v>
      </c>
      <c r="H102" s="32" t="n">
        <v>1</v>
      </c>
      <c r="I102" s="32" t="n">
        <v>1</v>
      </c>
      <c r="J102" s="32" t="str">
        <f aca="false">IF($B$5="","",IF($B$5="ORD",D102,IF($B$5="CON",E102,IF($B$5="AGI",F102,G102))))</f>
        <v>P</v>
      </c>
      <c r="K102" s="32" t="n">
        <f aca="false">IF(OR(H102=0,I102=0,J102=""),0,IF(IF(J102="X",1,IF(J102="P",$B$6,IF(J102="C",$B$7,IF(J102="DR",$B$8,IF(J102="T",$B$9,0)))))=1,1,0))</f>
        <v>0</v>
      </c>
      <c r="L102" s="32" t="str">
        <f aca="false">IF(K102=0,"",IF(LEN(TRIM(Scheda_2!$D$87&amp;""))=0,"MANCANTE",IF(LEFT(LOWER(TRIM(Scheda_2!$D$87&amp;"")),7)="non not","NON NOTO","ok")))</f>
        <v/>
      </c>
    </row>
    <row r="103" customFormat="false" ht="15" hidden="false" customHeight="false" outlineLevel="0" collapsed="false">
      <c r="A103" s="16" t="s">
        <v>291</v>
      </c>
      <c r="B103" s="31" t="s">
        <v>292</v>
      </c>
      <c r="C103" s="16" t="s">
        <v>271</v>
      </c>
      <c r="D103" s="32" t="s">
        <v>796</v>
      </c>
      <c r="E103" s="32"/>
      <c r="F103" s="32"/>
      <c r="G103" s="32" t="s">
        <v>796</v>
      </c>
      <c r="H103" s="32" t="n">
        <v>1</v>
      </c>
      <c r="I103" s="32" t="n">
        <v>1</v>
      </c>
      <c r="J103" s="32" t="str">
        <f aca="false">IF($B$5="","",IF($B$5="ORD",D103,IF($B$5="CON",E103,IF($B$5="AGI",F103,G103))))</f>
        <v>P</v>
      </c>
      <c r="K103" s="32" t="n">
        <f aca="false">IF(OR(H103=0,I103=0,J103=""),0,IF(IF(J103="X",1,IF(J103="P",$B$6,IF(J103="C",$B$7,IF(J103="DR",$B$8,IF(J103="T",$B$9,0)))))=1,1,0))</f>
        <v>0</v>
      </c>
      <c r="L103" s="32" t="str">
        <f aca="false">IF(K103=0,"",IF(LEN(TRIM(Scheda_2!$D$88&amp;""))=0,"MANCANTE",IF(LEFT(LOWER(TRIM(Scheda_2!$D$88&amp;"")),7)="non not","NON NOTO","ok")))</f>
        <v/>
      </c>
    </row>
    <row r="104" customFormat="false" ht="15" hidden="false" customHeight="false" outlineLevel="0" collapsed="false">
      <c r="A104" s="16" t="s">
        <v>294</v>
      </c>
      <c r="B104" s="31" t="s">
        <v>295</v>
      </c>
      <c r="C104" s="16" t="s">
        <v>271</v>
      </c>
      <c r="D104" s="32" t="s">
        <v>796</v>
      </c>
      <c r="E104" s="32"/>
      <c r="F104" s="32"/>
      <c r="G104" s="32" t="s">
        <v>796</v>
      </c>
      <c r="H104" s="32" t="n">
        <v>1</v>
      </c>
      <c r="I104" s="32" t="n">
        <v>1</v>
      </c>
      <c r="J104" s="32" t="str">
        <f aca="false">IF($B$5="","",IF($B$5="ORD",D104,IF($B$5="CON",E104,IF($B$5="AGI",F104,G104))))</f>
        <v>P</v>
      </c>
      <c r="K104" s="32" t="n">
        <f aca="false">IF(OR(H104=0,I104=0,J104=""),0,IF(IF(J104="X",1,IF(J104="P",$B$6,IF(J104="C",$B$7,IF(J104="DR",$B$8,IF(J104="T",$B$9,0)))))=1,1,0))</f>
        <v>0</v>
      </c>
      <c r="L104" s="32" t="str">
        <f aca="false">IF(K104=0,"",IF(LEN(TRIM(Scheda_2!$D$89&amp;""))=0,"MANCANTE",IF(LEFT(LOWER(TRIM(Scheda_2!$D$89&amp;"")),7)="non not","NON NOTO","ok")))</f>
        <v/>
      </c>
    </row>
    <row r="105" customFormat="false" ht="15" hidden="false" customHeight="false" outlineLevel="0" collapsed="false">
      <c r="A105" s="16" t="s">
        <v>296</v>
      </c>
      <c r="B105" s="31" t="s">
        <v>297</v>
      </c>
      <c r="C105" s="16" t="s">
        <v>271</v>
      </c>
      <c r="D105" s="32" t="s">
        <v>797</v>
      </c>
      <c r="E105" s="32"/>
      <c r="F105" s="32"/>
      <c r="G105" s="32" t="s">
        <v>797</v>
      </c>
      <c r="H105" s="32" t="n">
        <v>1</v>
      </c>
      <c r="I105" s="32" t="n">
        <v>1</v>
      </c>
      <c r="J105" s="32" t="str">
        <f aca="false">IF($B$5="","",IF($B$5="ORD",D105,IF($B$5="CON",E105,IF($B$5="AGI",F105,G105))))</f>
        <v>C</v>
      </c>
      <c r="K105" s="32" t="n">
        <f aca="false">IF(OR(H105=0,I105=0,J105=""),0,IF(IF(J105="X",1,IF(J105="P",$B$6,IF(J105="C",$B$7,IF(J105="DR",$B$8,IF(J105="T",$B$9,0)))))=1,1,0))</f>
        <v>0</v>
      </c>
      <c r="L105" s="32" t="str">
        <f aca="false">IF(K105=0,"",IF(LEN(TRIM(Scheda_2!$D$90&amp;""))=0,"MANCANTE",IF(LEFT(LOWER(TRIM(Scheda_2!$D$90&amp;"")),7)="non not","NON NOTO","ok")))</f>
        <v/>
      </c>
    </row>
    <row r="106" customFormat="false" ht="15" hidden="false" customHeight="false" outlineLevel="0" collapsed="false">
      <c r="A106" s="16" t="s">
        <v>300</v>
      </c>
      <c r="B106" s="31" t="s">
        <v>301</v>
      </c>
      <c r="C106" s="16" t="s">
        <v>271</v>
      </c>
      <c r="D106" s="32" t="s">
        <v>797</v>
      </c>
      <c r="E106" s="32"/>
      <c r="F106" s="32"/>
      <c r="G106" s="32" t="s">
        <v>797</v>
      </c>
      <c r="H106" s="32" t="n">
        <v>1</v>
      </c>
      <c r="I106" s="32" t="n">
        <v>1</v>
      </c>
      <c r="J106" s="32" t="str">
        <f aca="false">IF($B$5="","",IF($B$5="ORD",D106,IF($B$5="CON",E106,IF($B$5="AGI",F106,G106))))</f>
        <v>C</v>
      </c>
      <c r="K106" s="32" t="n">
        <f aca="false">IF(OR(H106=0,I106=0,J106=""),0,IF(IF(J106="X",1,IF(J106="P",$B$6,IF(J106="C",$B$7,IF(J106="DR",$B$8,IF(J106="T",$B$9,0)))))=1,1,0))</f>
        <v>0</v>
      </c>
      <c r="L106" s="32" t="str">
        <f aca="false">IF(K106=0,"",IF(LEN(TRIM(Scheda_2!$D$91&amp;""))=0,"MANCANTE",IF(LEFT(LOWER(TRIM(Scheda_2!$D$91&amp;"")),7)="non not","NON NOTO","ok")))</f>
        <v/>
      </c>
    </row>
    <row r="107" customFormat="false" ht="15" hidden="false" customHeight="false" outlineLevel="0" collapsed="false">
      <c r="A107" s="16" t="s">
        <v>302</v>
      </c>
      <c r="B107" s="31" t="s">
        <v>303</v>
      </c>
      <c r="C107" s="16" t="s">
        <v>271</v>
      </c>
      <c r="D107" s="32" t="s">
        <v>796</v>
      </c>
      <c r="E107" s="32" t="s">
        <v>795</v>
      </c>
      <c r="F107" s="32"/>
      <c r="G107" s="32" t="s">
        <v>796</v>
      </c>
      <c r="H107" s="32" t="n">
        <v>1</v>
      </c>
      <c r="I107" s="32" t="n">
        <v>1</v>
      </c>
      <c r="J107" s="32" t="str">
        <f aca="false">IF($B$5="","",IF($B$5="ORD",D107,IF($B$5="CON",E107,IF($B$5="AGI",F107,G107))))</f>
        <v>P</v>
      </c>
      <c r="K107" s="32" t="n">
        <f aca="false">IF(OR(H107=0,I107=0,J107=""),0,IF(IF(J107="X",1,IF(J107="P",$B$6,IF(J107="C",$B$7,IF(J107="DR",$B$8,IF(J107="T",$B$9,0)))))=1,1,0))</f>
        <v>0</v>
      </c>
      <c r="L107" s="32" t="str">
        <f aca="false">IF(K107=0,"",IF(LEN(TRIM(Scheda_2!$D$92&amp;""))=0,"MANCANTE",IF(LEFT(LOWER(TRIM(Scheda_2!$D$92&amp;"")),7)="non not","NON NOTO","ok")))</f>
        <v/>
      </c>
    </row>
    <row r="108" customFormat="false" ht="15" hidden="false" customHeight="false" outlineLevel="0" collapsed="false">
      <c r="A108" s="16" t="s">
        <v>305</v>
      </c>
      <c r="B108" s="31" t="s">
        <v>306</v>
      </c>
      <c r="C108" s="16" t="s">
        <v>271</v>
      </c>
      <c r="D108" s="32" t="s">
        <v>796</v>
      </c>
      <c r="E108" s="32"/>
      <c r="F108" s="32"/>
      <c r="G108" s="32" t="s">
        <v>796</v>
      </c>
      <c r="H108" s="32" t="n">
        <v>1</v>
      </c>
      <c r="I108" s="32" t="n">
        <v>1</v>
      </c>
      <c r="J108" s="32" t="str">
        <f aca="false">IF($B$5="","",IF($B$5="ORD",D108,IF($B$5="CON",E108,IF($B$5="AGI",F108,G108))))</f>
        <v>P</v>
      </c>
      <c r="K108" s="32" t="n">
        <f aca="false">IF(OR(H108=0,I108=0,J108=""),0,IF(IF(J108="X",1,IF(J108="P",$B$6,IF(J108="C",$B$7,IF(J108="DR",$B$8,IF(J108="T",$B$9,0)))))=1,1,0))</f>
        <v>0</v>
      </c>
      <c r="L108" s="32" t="str">
        <f aca="false">IF(K108=0,"",IF(LEN(TRIM(Scheda_2!$D$93&amp;""))=0,"MANCANTE",IF(LEFT(LOWER(TRIM(Scheda_2!$D$93&amp;"")),7)="non not","NON NOTO","ok")))</f>
        <v/>
      </c>
    </row>
    <row r="109" customFormat="false" ht="15" hidden="false" customHeight="false" outlineLevel="0" collapsed="false">
      <c r="A109" s="16" t="s">
        <v>308</v>
      </c>
      <c r="B109" s="31" t="s">
        <v>309</v>
      </c>
      <c r="C109" s="16" t="s">
        <v>271</v>
      </c>
      <c r="D109" s="32"/>
      <c r="E109" s="32"/>
      <c r="F109" s="32"/>
      <c r="G109" s="32"/>
      <c r="H109" s="32" t="n">
        <v>1</v>
      </c>
      <c r="I109" s="32" t="n">
        <v>1</v>
      </c>
      <c r="J109" s="32" t="n">
        <f aca="false">IF($B$5="","",IF($B$5="ORD",D109,IF($B$5="CON",E109,IF($B$5="AGI",F109,G109))))</f>
        <v>0</v>
      </c>
      <c r="K109" s="32" t="n">
        <v>0</v>
      </c>
      <c r="L109" s="32" t="str">
        <f aca="false">IF(K109=0,"",IF(LEN(TRIM(Scheda_2!$D$94&amp;""))=0,"MANCANTE",IF(LEFT(LOWER(TRIM(Scheda_2!$D$94&amp;"")),7)="non not","NON NOTO","ok")))</f>
        <v/>
      </c>
    </row>
    <row r="110" customFormat="false" ht="15" hidden="false" customHeight="false" outlineLevel="0" collapsed="false">
      <c r="A110" s="16" t="s">
        <v>312</v>
      </c>
      <c r="B110" s="31" t="s">
        <v>313</v>
      </c>
      <c r="C110" s="16" t="s">
        <v>271</v>
      </c>
      <c r="D110" s="32" t="s">
        <v>796</v>
      </c>
      <c r="E110" s="32"/>
      <c r="F110" s="32"/>
      <c r="G110" s="32"/>
      <c r="H110" s="32" t="n">
        <v>1</v>
      </c>
      <c r="I110" s="32" t="n">
        <v>1</v>
      </c>
      <c r="J110" s="32" t="str">
        <f aca="false">IF($B$5="","",IF($B$5="ORD",D110,IF($B$5="CON",E110,IF($B$5="AGI",F110,G110))))</f>
        <v>P</v>
      </c>
      <c r="K110" s="32" t="n">
        <f aca="false">IF(OR(H110=0,I110=0,J110=""),0,IF(IF(J110="X",1,IF(J110="P",$B$6,IF(J110="C",$B$7,IF(J110="DR",$B$8,IF(J110="T",$B$9,0)))))=1,1,0))</f>
        <v>0</v>
      </c>
      <c r="L110" s="32" t="str">
        <f aca="false">IF(K110=0,"",IF(LEN(TRIM(Scheda_2!$D$95&amp;""))=0,"MANCANTE",IF(LEFT(LOWER(TRIM(Scheda_2!$D$95&amp;"")),7)="non not","NON NOTO","ok")))</f>
        <v/>
      </c>
    </row>
    <row r="111" customFormat="false" ht="15" hidden="false" customHeight="false" outlineLevel="0" collapsed="false">
      <c r="A111" s="16" t="s">
        <v>315</v>
      </c>
      <c r="B111" s="31" t="s">
        <v>316</v>
      </c>
      <c r="C111" s="16" t="s">
        <v>271</v>
      </c>
      <c r="D111" s="32" t="s">
        <v>797</v>
      </c>
      <c r="E111" s="32"/>
      <c r="F111" s="32"/>
      <c r="G111" s="32" t="s">
        <v>797</v>
      </c>
      <c r="H111" s="32" t="n">
        <v>1</v>
      </c>
      <c r="I111" s="32" t="n">
        <v>1</v>
      </c>
      <c r="J111" s="32" t="str">
        <f aca="false">IF($B$5="","",IF($B$5="ORD",D111,IF($B$5="CON",E111,IF($B$5="AGI",F111,G111))))</f>
        <v>C</v>
      </c>
      <c r="K111" s="32" t="n">
        <f aca="false">IF(OR(H111=0,I111=0,J111=""),0,IF(IF(J111="X",1,IF(J111="P",$B$6,IF(J111="C",$B$7,IF(J111="DR",$B$8,IF(J111="T",$B$9,0)))))=1,1,0))</f>
        <v>0</v>
      </c>
      <c r="L111" s="32" t="str">
        <f aca="false">IF(K111=0,"",IF(LEN(TRIM(Scheda_2!$D$96&amp;""))=0,"MANCANTE",IF(LEFT(LOWER(TRIM(Scheda_2!$D$96&amp;"")),7)="non not","NON NOTO","ok")))</f>
        <v/>
      </c>
    </row>
    <row r="112" customFormat="false" ht="15" hidden="false" customHeight="false" outlineLevel="0" collapsed="false">
      <c r="A112" s="16" t="s">
        <v>318</v>
      </c>
      <c r="B112" s="31" t="s">
        <v>319</v>
      </c>
      <c r="C112" s="16" t="s">
        <v>271</v>
      </c>
      <c r="D112" s="32" t="s">
        <v>797</v>
      </c>
      <c r="E112" s="32"/>
      <c r="F112" s="32"/>
      <c r="G112" s="32" t="s">
        <v>797</v>
      </c>
      <c r="H112" s="32" t="n">
        <v>1</v>
      </c>
      <c r="I112" s="32" t="n">
        <f aca="false">IF(Scheda_2!$D$96="Sì",1,0)</f>
        <v>0</v>
      </c>
      <c r="J112" s="32" t="str">
        <f aca="false">IF($B$5="","",IF($B$5="ORD",D112,IF($B$5="CON",E112,IF($B$5="AGI",F112,G112))))</f>
        <v>C</v>
      </c>
      <c r="K112" s="32" t="n">
        <f aca="false">IF(OR(H112=0,I112=0,J112=""),0,IF(IF(J112="X",1,IF(J112="P",$B$6,IF(J112="C",$B$7,IF(J112="DR",$B$8,IF(J112="T",$B$9,0)))))=1,1,0))</f>
        <v>0</v>
      </c>
      <c r="L112" s="32" t="str">
        <f aca="false">IF(K112=0,"",IF(LEN(TRIM(Scheda_2!$D$97&amp;""))=0,"MANCANTE",IF(LEFT(LOWER(TRIM(Scheda_2!$D$97&amp;"")),7)="non not","NON NOTO","ok")))</f>
        <v/>
      </c>
    </row>
    <row r="113" customFormat="false" ht="15" hidden="false" customHeight="false" outlineLevel="0" collapsed="false">
      <c r="A113" s="16" t="s">
        <v>322</v>
      </c>
      <c r="B113" s="31" t="s">
        <v>323</v>
      </c>
      <c r="C113" s="16" t="s">
        <v>271</v>
      </c>
      <c r="D113" s="32" t="s">
        <v>797</v>
      </c>
      <c r="E113" s="32"/>
      <c r="F113" s="32"/>
      <c r="G113" s="32" t="s">
        <v>797</v>
      </c>
      <c r="H113" s="32" t="n">
        <v>1</v>
      </c>
      <c r="I113" s="32" t="n">
        <v>1</v>
      </c>
      <c r="J113" s="32" t="str">
        <f aca="false">IF($B$5="","",IF($B$5="ORD",D113,IF($B$5="CON",E113,IF($B$5="AGI",F113,G113))))</f>
        <v>C</v>
      </c>
      <c r="K113" s="32" t="n">
        <f aca="false">IF(OR(H113=0,I113=0,J113=""),0,IF(IF(J113="X",1,IF(J113="P",$B$6,IF(J113="C",$B$7,IF(J113="DR",$B$8,IF(J113="T",$B$9,0)))))=1,1,0))</f>
        <v>0</v>
      </c>
      <c r="L113" s="32" t="str">
        <f aca="false">IF(K113=0,"",IF(LEN(TRIM(Scheda_2!$D$98&amp;""))=0,"MANCANTE",IF(LEFT(LOWER(TRIM(Scheda_2!$D$98&amp;"")),7)="non not","NON NOTO","ok")))</f>
        <v/>
      </c>
    </row>
    <row r="114" customFormat="false" ht="15" hidden="false" customHeight="false" outlineLevel="0" collapsed="false">
      <c r="A114" s="16" t="s">
        <v>325</v>
      </c>
      <c r="B114" s="31" t="s">
        <v>326</v>
      </c>
      <c r="C114" s="16" t="s">
        <v>271</v>
      </c>
      <c r="D114" s="32" t="s">
        <v>796</v>
      </c>
      <c r="E114" s="32"/>
      <c r="F114" s="32"/>
      <c r="G114" s="32" t="s">
        <v>796</v>
      </c>
      <c r="H114" s="32" t="n">
        <v>1</v>
      </c>
      <c r="I114" s="32" t="n">
        <v>1</v>
      </c>
      <c r="J114" s="32" t="str">
        <f aca="false">IF($B$5="","",IF($B$5="ORD",D114,IF($B$5="CON",E114,IF($B$5="AGI",F114,G114))))</f>
        <v>P</v>
      </c>
      <c r="K114" s="32" t="n">
        <f aca="false">IF(OR(H114=0,I114=0,J114=""),0,IF(IF(J114="X",1,IF(J114="P",$B$6,IF(J114="C",$B$7,IF(J114="DR",$B$8,IF(J114="T",$B$9,0)))))=1,1,0))</f>
        <v>0</v>
      </c>
      <c r="L114" s="32" t="str">
        <f aca="false">IF(K114=0,"",IF(LEN(TRIM(Scheda_2!$D$99&amp;""))=0,"MANCANTE",IF(LEFT(LOWER(TRIM(Scheda_2!$D$99&amp;"")),7)="non not","NON NOTO","ok")))</f>
        <v/>
      </c>
    </row>
    <row r="115" customFormat="false" ht="15" hidden="false" customHeight="false" outlineLevel="0" collapsed="false">
      <c r="A115" s="16" t="s">
        <v>328</v>
      </c>
      <c r="B115" s="31" t="s">
        <v>329</v>
      </c>
      <c r="C115" s="16" t="s">
        <v>271</v>
      </c>
      <c r="D115" s="32" t="s">
        <v>796</v>
      </c>
      <c r="E115" s="32"/>
      <c r="F115" s="32"/>
      <c r="G115" s="32" t="s">
        <v>796</v>
      </c>
      <c r="H115" s="32" t="n">
        <v>1</v>
      </c>
      <c r="I115" s="32" t="n">
        <f aca="false">IF(Scheda_2!$D$99="Sì",1,0)</f>
        <v>0</v>
      </c>
      <c r="J115" s="32" t="str">
        <f aca="false">IF($B$5="","",IF($B$5="ORD",D115,IF($B$5="CON",E115,IF($B$5="AGI",F115,G115))))</f>
        <v>P</v>
      </c>
      <c r="K115" s="32" t="n">
        <f aca="false">IF(OR(H115=0,I115=0,J115=""),0,IF(IF(J115="X",1,IF(J115="P",$B$6,IF(J115="C",$B$7,IF(J115="DR",$B$8,IF(J115="T",$B$9,0)))))=1,1,0))</f>
        <v>0</v>
      </c>
      <c r="L115" s="32" t="str">
        <f aca="false">IF(K115=0,"",IF(LEN(TRIM(Scheda_2!$D$100&amp;""))=0,"MANCANTE",IF(LEFT(LOWER(TRIM(Scheda_2!$D$100&amp;"")),7)="non not","NON NOTO","ok")))</f>
        <v/>
      </c>
    </row>
    <row r="116" customFormat="false" ht="15" hidden="false" customHeight="false" outlineLevel="0" collapsed="false">
      <c r="A116" s="16" t="s">
        <v>332</v>
      </c>
      <c r="B116" s="31" t="s">
        <v>333</v>
      </c>
      <c r="C116" s="16" t="s">
        <v>271</v>
      </c>
      <c r="D116" s="32" t="s">
        <v>796</v>
      </c>
      <c r="E116" s="32"/>
      <c r="F116" s="32"/>
      <c r="G116" s="32" t="s">
        <v>796</v>
      </c>
      <c r="H116" s="32" t="n">
        <v>1</v>
      </c>
      <c r="I116" s="32" t="n">
        <f aca="false">IF(Scheda_2!$D$99="Sì",1,0)</f>
        <v>0</v>
      </c>
      <c r="J116" s="32" t="str">
        <f aca="false">IF($B$5="","",IF($B$5="ORD",D116,IF($B$5="CON",E116,IF($B$5="AGI",F116,G116))))</f>
        <v>P</v>
      </c>
      <c r="K116" s="32" t="n">
        <f aca="false">IF(OR(H116=0,I116=0,J116=""),0,IF(IF(J116="X",1,IF(J116="P",$B$6,IF(J116="C",$B$7,IF(J116="DR",$B$8,IF(J116="T",$B$9,0)))))=1,1,0))</f>
        <v>0</v>
      </c>
      <c r="L116" s="32" t="str">
        <f aca="false">IF(K116=0,"",IF(LEN(TRIM(Scheda_2!$D$101&amp;""))=0,"MANCANTE",IF(LEFT(LOWER(TRIM(Scheda_2!$D$101&amp;"")),7)="non not","NON NOTO","ok")))</f>
        <v/>
      </c>
    </row>
    <row r="117" customFormat="false" ht="15" hidden="false" customHeight="false" outlineLevel="0" collapsed="false">
      <c r="A117" s="16" t="s">
        <v>334</v>
      </c>
      <c r="B117" s="31" t="s">
        <v>335</v>
      </c>
      <c r="C117" s="16" t="s">
        <v>271</v>
      </c>
      <c r="D117" s="32" t="s">
        <v>796</v>
      </c>
      <c r="E117" s="32"/>
      <c r="F117" s="32"/>
      <c r="G117" s="32" t="s">
        <v>796</v>
      </c>
      <c r="H117" s="32" t="n">
        <v>1</v>
      </c>
      <c r="I117" s="32" t="n">
        <v>1</v>
      </c>
      <c r="J117" s="32" t="str">
        <f aca="false">IF($B$5="","",IF($B$5="ORD",D117,IF($B$5="CON",E117,IF($B$5="AGI",F117,G117))))</f>
        <v>P</v>
      </c>
      <c r="K117" s="32" t="n">
        <f aca="false">IF(OR(H117=0,I117=0,J117=""),0,IF(IF(J117="X",1,IF(J117="P",$B$6,IF(J117="C",$B$7,IF(J117="DR",$B$8,IF(J117="T",$B$9,0)))))=1,1,0))</f>
        <v>0</v>
      </c>
      <c r="L117" s="32" t="str">
        <f aca="false">IF(K117=0,"",IF(LEN(TRIM(Scheda_2!$D$102&amp;""))=0,"MANCANTE",IF(LEFT(LOWER(TRIM(Scheda_2!$D$102&amp;"")),7)="non not","NON NOTO","ok")))</f>
        <v/>
      </c>
    </row>
    <row r="118" customFormat="false" ht="15" hidden="false" customHeight="false" outlineLevel="0" collapsed="false">
      <c r="A118" s="16" t="s">
        <v>337</v>
      </c>
      <c r="B118" s="31" t="s">
        <v>338</v>
      </c>
      <c r="C118" s="16" t="s">
        <v>271</v>
      </c>
      <c r="D118" s="32" t="s">
        <v>796</v>
      </c>
      <c r="E118" s="32"/>
      <c r="F118" s="32"/>
      <c r="G118" s="32" t="s">
        <v>796</v>
      </c>
      <c r="H118" s="32" t="n">
        <v>1</v>
      </c>
      <c r="I118" s="32" t="n">
        <v>1</v>
      </c>
      <c r="J118" s="32" t="str">
        <f aca="false">IF($B$5="","",IF($B$5="ORD",D118,IF($B$5="CON",E118,IF($B$5="AGI",F118,G118))))</f>
        <v>P</v>
      </c>
      <c r="K118" s="32" t="n">
        <f aca="false">IF(OR(H118=0,I118=0,J118=""),0,IF(IF(J118="X",1,IF(J118="P",$B$6,IF(J118="C",$B$7,IF(J118="DR",$B$8,IF(J118="T",$B$9,0)))))=1,1,0))</f>
        <v>0</v>
      </c>
      <c r="L118" s="32" t="str">
        <f aca="false">IF(K118=0,"",IF(LEN(TRIM(Scheda_2!$D$103&amp;""))=0,"MANCANTE",IF(LEFT(LOWER(TRIM(Scheda_2!$D$103&amp;"")),7)="non not","NON NOTO","ok")))</f>
        <v/>
      </c>
    </row>
    <row r="119" customFormat="false" ht="15" hidden="false" customHeight="false" outlineLevel="0" collapsed="false">
      <c r="A119" s="16" t="s">
        <v>340</v>
      </c>
      <c r="B119" s="31" t="s">
        <v>341</v>
      </c>
      <c r="C119" s="16" t="s">
        <v>271</v>
      </c>
      <c r="D119" s="32" t="s">
        <v>796</v>
      </c>
      <c r="E119" s="32"/>
      <c r="F119" s="32"/>
      <c r="G119" s="32" t="s">
        <v>796</v>
      </c>
      <c r="H119" s="32" t="n">
        <v>1</v>
      </c>
      <c r="I119" s="32" t="n">
        <v>1</v>
      </c>
      <c r="J119" s="32" t="str">
        <f aca="false">IF($B$5="","",IF($B$5="ORD",D119,IF($B$5="CON",E119,IF($B$5="AGI",F119,G119))))</f>
        <v>P</v>
      </c>
      <c r="K119" s="32" t="n">
        <f aca="false">IF(OR(H119=0,I119=0,J119=""),0,IF(IF(J119="X",1,IF(J119="P",$B$6,IF(J119="C",$B$7,IF(J119="DR",$B$8,IF(J119="T",$B$9,0)))))=1,1,0))</f>
        <v>0</v>
      </c>
      <c r="L119" s="32" t="str">
        <f aca="false">IF(K119=0,"",IF(LEN(TRIM(Scheda_2!$D$104&amp;""))=0,"MANCANTE",IF(LEFT(LOWER(TRIM(Scheda_2!$D$104&amp;"")),7)="non not","NON NOTO","ok")))</f>
        <v/>
      </c>
    </row>
    <row r="120" customFormat="false" ht="15" hidden="false" customHeight="false" outlineLevel="0" collapsed="false">
      <c r="A120" s="16" t="s">
        <v>342</v>
      </c>
      <c r="B120" s="31" t="s">
        <v>343</v>
      </c>
      <c r="C120" s="16" t="s">
        <v>271</v>
      </c>
      <c r="D120" s="32" t="s">
        <v>796</v>
      </c>
      <c r="E120" s="32"/>
      <c r="F120" s="32"/>
      <c r="G120" s="32" t="s">
        <v>796</v>
      </c>
      <c r="H120" s="32" t="n">
        <v>1</v>
      </c>
      <c r="I120" s="32" t="n">
        <v>1</v>
      </c>
      <c r="J120" s="32" t="str">
        <f aca="false">IF($B$5="","",IF($B$5="ORD",D120,IF($B$5="CON",E120,IF($B$5="AGI",F120,G120))))</f>
        <v>P</v>
      </c>
      <c r="K120" s="32" t="n">
        <f aca="false">IF(OR(H120=0,I120=0,J120=""),0,IF(IF(J120="X",1,IF(J120="P",$B$6,IF(J120="C",$B$7,IF(J120="DR",$B$8,IF(J120="T",$B$9,0)))))=1,1,0))</f>
        <v>0</v>
      </c>
      <c r="L120" s="32" t="str">
        <f aca="false">IF(K120=0,"",IF(LEN(TRIM(Scheda_2!$D$105&amp;""))=0,"MANCANTE",IF(LEFT(LOWER(TRIM(Scheda_2!$D$105&amp;"")),7)="non not","NON NOTO","ok")))</f>
        <v/>
      </c>
    </row>
    <row r="121" customFormat="false" ht="15" hidden="false" customHeight="false" outlineLevel="0" collapsed="false">
      <c r="A121" s="16" t="s">
        <v>345</v>
      </c>
      <c r="B121" s="31" t="s">
        <v>346</v>
      </c>
      <c r="C121" s="16" t="s">
        <v>271</v>
      </c>
      <c r="D121" s="32" t="s">
        <v>796</v>
      </c>
      <c r="E121" s="32"/>
      <c r="F121" s="32"/>
      <c r="G121" s="32" t="s">
        <v>796</v>
      </c>
      <c r="H121" s="32" t="n">
        <v>1</v>
      </c>
      <c r="I121" s="32" t="n">
        <v>1</v>
      </c>
      <c r="J121" s="32" t="str">
        <f aca="false">IF($B$5="","",IF($B$5="ORD",D121,IF($B$5="CON",E121,IF($B$5="AGI",F121,G121))))</f>
        <v>P</v>
      </c>
      <c r="K121" s="32" t="n">
        <f aca="false">IF(OR(H121=0,I121=0,J121=""),0,IF(IF(J121="X",1,IF(J121="P",$B$6,IF(J121="C",$B$7,IF(J121="DR",$B$8,IF(J121="T",$B$9,0)))))=1,1,0))</f>
        <v>0</v>
      </c>
      <c r="L121" s="32" t="str">
        <f aca="false">IF(K121=0,"",IF(LEN(TRIM(Scheda_2!$D$106&amp;""))=0,"MANCANTE",IF(LEFT(LOWER(TRIM(Scheda_2!$D$106&amp;"")),7)="non not","NON NOTO","ok")))</f>
        <v/>
      </c>
    </row>
    <row r="122" customFormat="false" ht="15" hidden="false" customHeight="false" outlineLevel="0" collapsed="false">
      <c r="A122" s="16" t="s">
        <v>348</v>
      </c>
      <c r="B122" s="31" t="s">
        <v>349</v>
      </c>
      <c r="C122" s="16" t="s">
        <v>271</v>
      </c>
      <c r="D122" s="32" t="s">
        <v>796</v>
      </c>
      <c r="E122" s="32"/>
      <c r="F122" s="32"/>
      <c r="G122" s="32" t="s">
        <v>796</v>
      </c>
      <c r="H122" s="32" t="n">
        <v>1</v>
      </c>
      <c r="I122" s="32" t="n">
        <f aca="false">IF(Scheda_2!$D$106="No",1,0)</f>
        <v>0</v>
      </c>
      <c r="J122" s="32" t="str">
        <f aca="false">IF($B$5="","",IF($B$5="ORD",D122,IF($B$5="CON",E122,IF($B$5="AGI",F122,G122))))</f>
        <v>P</v>
      </c>
      <c r="K122" s="32" t="n">
        <f aca="false">IF(OR(H122=0,I122=0,J122=""),0,IF(IF(J122="X",1,IF(J122="P",$B$6,IF(J122="C",$B$7,IF(J122="DR",$B$8,IF(J122="T",$B$9,0)))))=1,1,0))</f>
        <v>0</v>
      </c>
      <c r="L122" s="32" t="str">
        <f aca="false">IF(K122=0,"",IF(LEN(TRIM(Scheda_2!$D$107&amp;""))=0,"MANCANTE",IF(LEFT(LOWER(TRIM(Scheda_2!$D$107&amp;"")),7)="non not","NON NOTO","ok")))</f>
        <v/>
      </c>
    </row>
    <row r="123" customFormat="false" ht="15" hidden="false" customHeight="false" outlineLevel="0" collapsed="false">
      <c r="A123" s="16" t="s">
        <v>352</v>
      </c>
      <c r="B123" s="31" t="s">
        <v>353</v>
      </c>
      <c r="C123" s="16" t="s">
        <v>271</v>
      </c>
      <c r="D123" s="32" t="s">
        <v>796</v>
      </c>
      <c r="E123" s="32"/>
      <c r="F123" s="32"/>
      <c r="G123" s="32" t="s">
        <v>796</v>
      </c>
      <c r="H123" s="32" t="n">
        <v>1</v>
      </c>
      <c r="I123" s="32" t="n">
        <f aca="false">IF(Scheda_2!$D$106="No",1,0)</f>
        <v>0</v>
      </c>
      <c r="J123" s="32" t="str">
        <f aca="false">IF($B$5="","",IF($B$5="ORD",D123,IF($B$5="CON",E123,IF($B$5="AGI",F123,G123))))</f>
        <v>P</v>
      </c>
      <c r="K123" s="32" t="n">
        <f aca="false">IF(OR(H123=0,I123=0,J123=""),0,IF(IF(J123="X",1,IF(J123="P",$B$6,IF(J123="C",$B$7,IF(J123="DR",$B$8,IF(J123="T",$B$9,0)))))=1,1,0))</f>
        <v>0</v>
      </c>
      <c r="L123" s="32" t="str">
        <f aca="false">IF(K123=0,"",IF(LEN(TRIM(Scheda_2!$D$108&amp;""))=0,"MANCANTE",IF(LEFT(LOWER(TRIM(Scheda_2!$D$108&amp;"")),7)="non not","NON NOTO","ok")))</f>
        <v/>
      </c>
    </row>
    <row r="124" customFormat="false" ht="15" hidden="false" customHeight="false" outlineLevel="0" collapsed="false">
      <c r="A124" s="16" t="s">
        <v>355</v>
      </c>
      <c r="B124" s="31" t="s">
        <v>356</v>
      </c>
      <c r="C124" s="16" t="s">
        <v>271</v>
      </c>
      <c r="D124" s="32" t="s">
        <v>796</v>
      </c>
      <c r="E124" s="32"/>
      <c r="F124" s="32"/>
      <c r="G124" s="32" t="s">
        <v>796</v>
      </c>
      <c r="H124" s="32" t="n">
        <v>1</v>
      </c>
      <c r="I124" s="32" t="n">
        <v>1</v>
      </c>
      <c r="J124" s="32" t="str">
        <f aca="false">IF($B$5="","",IF($B$5="ORD",D124,IF($B$5="CON",E124,IF($B$5="AGI",F124,G124))))</f>
        <v>P</v>
      </c>
      <c r="K124" s="32" t="n">
        <f aca="false">IF(OR(H124=0,I124=0,J124=""),0,IF(IF(J124="X",1,IF(J124="P",$B$6,IF(J124="C",$B$7,IF(J124="DR",$B$8,IF(J124="T",$B$9,0)))))=1,1,0))</f>
        <v>0</v>
      </c>
      <c r="L124" s="32" t="str">
        <f aca="false">IF(K124=0,"",IF(LEN(TRIM(Scheda_2!$D$109&amp;""))=0,"MANCANTE",IF(LEFT(LOWER(TRIM(Scheda_2!$D$109&amp;"")),7)="non not","NON NOTO","ok")))</f>
        <v/>
      </c>
    </row>
    <row r="125" customFormat="false" ht="15" hidden="false" customHeight="false" outlineLevel="0" collapsed="false">
      <c r="A125" s="16" t="s">
        <v>358</v>
      </c>
      <c r="B125" s="31" t="s">
        <v>359</v>
      </c>
      <c r="C125" s="16" t="s">
        <v>271</v>
      </c>
      <c r="D125" s="32" t="s">
        <v>796</v>
      </c>
      <c r="E125" s="32"/>
      <c r="F125" s="32"/>
      <c r="G125" s="32" t="s">
        <v>796</v>
      </c>
      <c r="H125" s="32" t="n">
        <v>1</v>
      </c>
      <c r="I125" s="32" t="n">
        <v>1</v>
      </c>
      <c r="J125" s="32" t="str">
        <f aca="false">IF($B$5="","",IF($B$5="ORD",D125,IF($B$5="CON",E125,IF($B$5="AGI",F125,G125))))</f>
        <v>P</v>
      </c>
      <c r="K125" s="32" t="n">
        <f aca="false">IF(OR(H125=0,I125=0,J125=""),0,IF(IF(J125="X",1,IF(J125="P",$B$6,IF(J125="C",$B$7,IF(J125="DR",$B$8,IF(J125="T",$B$9,0)))))=1,1,0))</f>
        <v>0</v>
      </c>
      <c r="L125" s="32" t="str">
        <f aca="false">IF(K125=0,"",IF(LEN(TRIM(Scheda_2!$D$110&amp;""))=0,"MANCANTE",IF(LEFT(LOWER(TRIM(Scheda_2!$D$110&amp;"")),7)="non not","NON NOTO","ok")))</f>
        <v/>
      </c>
    </row>
    <row r="126" customFormat="false" ht="15" hidden="false" customHeight="false" outlineLevel="0" collapsed="false">
      <c r="A126" s="16" t="s">
        <v>361</v>
      </c>
      <c r="B126" s="31" t="s">
        <v>362</v>
      </c>
      <c r="C126" s="16" t="s">
        <v>271</v>
      </c>
      <c r="D126" s="32" t="s">
        <v>796</v>
      </c>
      <c r="E126" s="32"/>
      <c r="F126" s="32"/>
      <c r="G126" s="32" t="s">
        <v>796</v>
      </c>
      <c r="H126" s="32" t="n">
        <v>1</v>
      </c>
      <c r="I126" s="32" t="n">
        <v>1</v>
      </c>
      <c r="J126" s="32" t="str">
        <f aca="false">IF($B$5="","",IF($B$5="ORD",D126,IF($B$5="CON",E126,IF($B$5="AGI",F126,G126))))</f>
        <v>P</v>
      </c>
      <c r="K126" s="32" t="n">
        <f aca="false">IF(OR(H126=0,I126=0,J126=""),0,IF(IF(J126="X",1,IF(J126="P",$B$6,IF(J126="C",$B$7,IF(J126="DR",$B$8,IF(J126="T",$B$9,0)))))=1,1,0))</f>
        <v>0</v>
      </c>
      <c r="L126" s="32" t="str">
        <f aca="false">IF(K126=0,"",IF(LEN(TRIM(Scheda_2!$D$111&amp;""))=0,"MANCANTE",IF(LEFT(LOWER(TRIM(Scheda_2!$D$111&amp;"")),7)="non not","NON NOTO","ok")))</f>
        <v/>
      </c>
    </row>
    <row r="127" customFormat="false" ht="15" hidden="false" customHeight="false" outlineLevel="0" collapsed="false">
      <c r="A127" s="16" t="s">
        <v>364</v>
      </c>
      <c r="B127" s="31" t="s">
        <v>365</v>
      </c>
      <c r="C127" s="16" t="s">
        <v>271</v>
      </c>
      <c r="D127" s="32" t="s">
        <v>796</v>
      </c>
      <c r="E127" s="32"/>
      <c r="F127" s="32"/>
      <c r="G127" s="32" t="s">
        <v>796</v>
      </c>
      <c r="H127" s="32" t="n">
        <v>1</v>
      </c>
      <c r="I127" s="32" t="n">
        <v>1</v>
      </c>
      <c r="J127" s="32" t="str">
        <f aca="false">IF($B$5="","",IF($B$5="ORD",D127,IF($B$5="CON",E127,IF($B$5="AGI",F127,G127))))</f>
        <v>P</v>
      </c>
      <c r="K127" s="32" t="n">
        <f aca="false">IF(OR(H127=0,I127=0,J127=""),0,IF(IF(J127="X",1,IF(J127="P",$B$6,IF(J127="C",$B$7,IF(J127="DR",$B$8,IF(J127="T",$B$9,0)))))=1,1,0))</f>
        <v>0</v>
      </c>
      <c r="L127" s="32" t="str">
        <f aca="false">IF(K127=0,"",IF(LEN(TRIM(Scheda_2!$D$112&amp;""))=0,"MANCANTE",IF(LEFT(LOWER(TRIM(Scheda_2!$D$112&amp;"")),7)="non not","NON NOTO","ok")))</f>
        <v/>
      </c>
    </row>
    <row r="128" customFormat="false" ht="15" hidden="false" customHeight="false" outlineLevel="0" collapsed="false">
      <c r="A128" s="16" t="s">
        <v>366</v>
      </c>
      <c r="B128" s="31" t="s">
        <v>367</v>
      </c>
      <c r="C128" s="16" t="s">
        <v>271</v>
      </c>
      <c r="D128" s="32" t="s">
        <v>797</v>
      </c>
      <c r="E128" s="32"/>
      <c r="F128" s="32"/>
      <c r="G128" s="32" t="s">
        <v>797</v>
      </c>
      <c r="H128" s="32" t="n">
        <v>1</v>
      </c>
      <c r="I128" s="32" t="n">
        <v>1</v>
      </c>
      <c r="J128" s="32" t="str">
        <f aca="false">IF($B$5="","",IF($B$5="ORD",D128,IF($B$5="CON",E128,IF($B$5="AGI",F128,G128))))</f>
        <v>C</v>
      </c>
      <c r="K128" s="32" t="n">
        <f aca="false">IF(OR(H128=0,I128=0,J128=""),0,IF(IF(J128="X",1,IF(J128="P",$B$6,IF(J128="C",$B$7,IF(J128="DR",$B$8,IF(J128="T",$B$9,0)))))=1,1,0))</f>
        <v>0</v>
      </c>
      <c r="L128" s="32" t="str">
        <f aca="false">IF(K128=0,"",IF(LEN(TRIM(Scheda_2!$D$113&amp;""))=0,"MANCANTE",IF(LEFT(LOWER(TRIM(Scheda_2!$D$113&amp;"")),7)="non not","NON NOTO","ok")))</f>
        <v/>
      </c>
    </row>
    <row r="129" customFormat="false" ht="15" hidden="false" customHeight="false" outlineLevel="0" collapsed="false">
      <c r="A129" s="16" t="s">
        <v>369</v>
      </c>
      <c r="B129" s="31" t="s">
        <v>370</v>
      </c>
      <c r="C129" s="16" t="s">
        <v>271</v>
      </c>
      <c r="D129" s="32" t="s">
        <v>797</v>
      </c>
      <c r="E129" s="32"/>
      <c r="F129" s="32"/>
      <c r="G129" s="32" t="s">
        <v>797</v>
      </c>
      <c r="H129" s="32" t="n">
        <v>1</v>
      </c>
      <c r="I129" s="32" t="n">
        <v>1</v>
      </c>
      <c r="J129" s="32" t="str">
        <f aca="false">IF($B$5="","",IF($B$5="ORD",D129,IF($B$5="CON",E129,IF($B$5="AGI",F129,G129))))</f>
        <v>C</v>
      </c>
      <c r="K129" s="32" t="n">
        <f aca="false">IF(OR(H129=0,I129=0,J129=""),0,IF(IF(J129="X",1,IF(J129="P",$B$6,IF(J129="C",$B$7,IF(J129="DR",$B$8,IF(J129="T",$B$9,0)))))=1,1,0))</f>
        <v>0</v>
      </c>
      <c r="L129" s="32" t="str">
        <f aca="false">IF(K129=0,"",IF(LEN(TRIM(Scheda_2!$D$114&amp;""))=0,"MANCANTE",IF(LEFT(LOWER(TRIM(Scheda_2!$D$114&amp;"")),7)="non not","NON NOTO","ok")))</f>
        <v/>
      </c>
    </row>
    <row r="130" customFormat="false" ht="15" hidden="false" customHeight="false" outlineLevel="0" collapsed="false">
      <c r="A130" s="16" t="s">
        <v>373</v>
      </c>
      <c r="B130" s="31" t="s">
        <v>374</v>
      </c>
      <c r="C130" s="16" t="s">
        <v>271</v>
      </c>
      <c r="D130" s="32" t="s">
        <v>797</v>
      </c>
      <c r="E130" s="32"/>
      <c r="F130" s="32"/>
      <c r="G130" s="32" t="s">
        <v>797</v>
      </c>
      <c r="H130" s="32" t="n">
        <v>1</v>
      </c>
      <c r="I130" s="32" t="n">
        <f aca="false">IF(Scheda_2!$D$114="Fuori lotto",1,0)</f>
        <v>0</v>
      </c>
      <c r="J130" s="32" t="str">
        <f aca="false">IF($B$5="","",IF($B$5="ORD",D130,IF($B$5="CON",E130,IF($B$5="AGI",F130,G130))))</f>
        <v>C</v>
      </c>
      <c r="K130" s="32" t="n">
        <f aca="false">IF(OR(H130=0,I130=0,J130=""),0,IF(IF(J130="X",1,IF(J130="P",$B$6,IF(J130="C",$B$7,IF(J130="DR",$B$8,IF(J130="T",$B$9,0)))))=1,1,0))</f>
        <v>0</v>
      </c>
      <c r="L130" s="32" t="str">
        <f aca="false">IF(K130=0,"",IF(LEN(TRIM(Scheda_2!$D$115&amp;""))=0,"MANCANTE",IF(LEFT(LOWER(TRIM(Scheda_2!$D$115&amp;"")),7)="non not","NON NOTO","ok")))</f>
        <v/>
      </c>
    </row>
    <row r="131" customFormat="false" ht="15" hidden="false" customHeight="false" outlineLevel="0" collapsed="false">
      <c r="A131" s="16" t="s">
        <v>377</v>
      </c>
      <c r="B131" s="31" t="s">
        <v>378</v>
      </c>
      <c r="C131" s="16" t="s">
        <v>271</v>
      </c>
      <c r="D131" s="32" t="s">
        <v>797</v>
      </c>
      <c r="E131" s="32"/>
      <c r="F131" s="32"/>
      <c r="G131" s="32" t="s">
        <v>797</v>
      </c>
      <c r="H131" s="32" t="n">
        <v>1</v>
      </c>
      <c r="I131" s="32" t="n">
        <f aca="false">IF(AND(Scheda_2!$D$114&lt;&gt;"",Scheda_2!$D$114&lt;&gt;"Non previsti"),1,0)</f>
        <v>0</v>
      </c>
      <c r="J131" s="32" t="str">
        <f aca="false">IF($B$5="","",IF($B$5="ORD",D131,IF($B$5="CON",E131,IF($B$5="AGI",F131,G131))))</f>
        <v>C</v>
      </c>
      <c r="K131" s="32" t="n">
        <f aca="false">IF(OR(H131=0,I131=0,J131=""),0,IF(IF(J131="X",1,IF(J131="P",$B$6,IF(J131="C",$B$7,IF(J131="DR",$B$8,IF(J131="T",$B$9,0)))))=1,1,0))</f>
        <v>0</v>
      </c>
      <c r="L131" s="32" t="str">
        <f aca="false">IF(K131=0,"",IF(LEN(TRIM(Scheda_2!$D$116&amp;""))=0,"MANCANTE",IF(LEFT(LOWER(TRIM(Scheda_2!$D$116&amp;"")),7)="non not","NON NOTO","ok")))</f>
        <v/>
      </c>
    </row>
    <row r="132" customFormat="false" ht="15" hidden="false" customHeight="false" outlineLevel="0" collapsed="false">
      <c r="A132" s="16" t="s">
        <v>381</v>
      </c>
      <c r="B132" s="31" t="s">
        <v>382</v>
      </c>
      <c r="C132" s="16" t="s">
        <v>271</v>
      </c>
      <c r="D132" s="32" t="s">
        <v>797</v>
      </c>
      <c r="E132" s="32"/>
      <c r="F132" s="32"/>
      <c r="G132" s="32" t="s">
        <v>797</v>
      </c>
      <c r="H132" s="32" t="n">
        <v>1</v>
      </c>
      <c r="I132" s="32" t="n">
        <v>1</v>
      </c>
      <c r="J132" s="32" t="str">
        <f aca="false">IF($B$5="","",IF($B$5="ORD",D132,IF($B$5="CON",E132,IF($B$5="AGI",F132,G132))))</f>
        <v>C</v>
      </c>
      <c r="K132" s="32" t="n">
        <f aca="false">IF(OR(H132=0,I132=0,J132=""),0,IF(IF(J132="X",1,IF(J132="P",$B$6,IF(J132="C",$B$7,IF(J132="DR",$B$8,IF(J132="T",$B$9,0)))))=1,1,0))</f>
        <v>0</v>
      </c>
      <c r="L132" s="32" t="str">
        <f aca="false">IF(K132=0,"",IF(LEN(TRIM(Scheda_2!$D$117&amp;""))=0,"MANCANTE",IF(LEFT(LOWER(TRIM(Scheda_2!$D$117&amp;"")),7)="non not","NON NOTO","ok")))</f>
        <v/>
      </c>
    </row>
    <row r="133" customFormat="false" ht="15" hidden="false" customHeight="false" outlineLevel="0" collapsed="false">
      <c r="A133" s="16" t="s">
        <v>385</v>
      </c>
      <c r="B133" s="31" t="s">
        <v>386</v>
      </c>
      <c r="C133" s="16" t="s">
        <v>271</v>
      </c>
      <c r="D133" s="32" t="s">
        <v>797</v>
      </c>
      <c r="E133" s="32"/>
      <c r="F133" s="32"/>
      <c r="G133" s="32" t="s">
        <v>797</v>
      </c>
      <c r="H133" s="32" t="n">
        <v>1</v>
      </c>
      <c r="I133" s="32" t="n">
        <v>1</v>
      </c>
      <c r="J133" s="32" t="str">
        <f aca="false">IF($B$5="","",IF($B$5="ORD",D133,IF($B$5="CON",E133,IF($B$5="AGI",F133,G133))))</f>
        <v>C</v>
      </c>
      <c r="K133" s="32" t="n">
        <f aca="false">IF(OR(H133=0,I133=0,J133=""),0,IF(IF(J133="X",1,IF(J133="P",$B$6,IF(J133="C",$B$7,IF(J133="DR",$B$8,IF(J133="T",$B$9,0)))))=1,1,0))</f>
        <v>0</v>
      </c>
      <c r="L133" s="32" t="str">
        <f aca="false">IF(K133=0,"",IF(LEN(TRIM(Scheda_2!$D$118&amp;""))=0,"MANCANTE",IF(LEFT(LOWER(TRIM(Scheda_2!$D$118&amp;"")),7)="non not","NON NOTO","ok")))</f>
        <v/>
      </c>
    </row>
    <row r="134" customFormat="false" ht="15" hidden="false" customHeight="false" outlineLevel="0" collapsed="false">
      <c r="A134" s="16" t="s">
        <v>389</v>
      </c>
      <c r="B134" s="31" t="s">
        <v>390</v>
      </c>
      <c r="C134" s="16" t="s">
        <v>271</v>
      </c>
      <c r="D134" s="32" t="s">
        <v>797</v>
      </c>
      <c r="E134" s="32"/>
      <c r="F134" s="32"/>
      <c r="G134" s="32" t="s">
        <v>797</v>
      </c>
      <c r="H134" s="32" t="n">
        <v>1</v>
      </c>
      <c r="I134" s="32" t="n">
        <v>1</v>
      </c>
      <c r="J134" s="32" t="str">
        <f aca="false">IF($B$5="","",IF($B$5="ORD",D134,IF($B$5="CON",E134,IF($B$5="AGI",F134,G134))))</f>
        <v>C</v>
      </c>
      <c r="K134" s="32" t="n">
        <f aca="false">IF(OR(H134=0,I134=0,J134=""),0,IF(IF(J134="X",1,IF(J134="P",$B$6,IF(J134="C",$B$7,IF(J134="DR",$B$8,IF(J134="T",$B$9,0)))))=1,1,0))</f>
        <v>0</v>
      </c>
      <c r="L134" s="32" t="str">
        <f aca="false">IF(K134=0,"",IF(LEN(TRIM(Scheda_2!$D$119&amp;""))=0,"MANCANTE",IF(LEFT(LOWER(TRIM(Scheda_2!$D$119&amp;"")),7)="non not","NON NOTO","ok")))</f>
        <v/>
      </c>
    </row>
    <row r="135" customFormat="false" ht="15" hidden="false" customHeight="false" outlineLevel="0" collapsed="false">
      <c r="A135" s="16" t="s">
        <v>392</v>
      </c>
      <c r="B135" s="31" t="s">
        <v>393</v>
      </c>
      <c r="C135" s="16" t="s">
        <v>271</v>
      </c>
      <c r="D135" s="32" t="s">
        <v>796</v>
      </c>
      <c r="E135" s="32"/>
      <c r="F135" s="32"/>
      <c r="G135" s="32" t="s">
        <v>796</v>
      </c>
      <c r="H135" s="32" t="n">
        <v>1</v>
      </c>
      <c r="I135" s="32" t="n">
        <v>1</v>
      </c>
      <c r="J135" s="32" t="str">
        <f aca="false">IF($B$5="","",IF($B$5="ORD",D135,IF($B$5="CON",E135,IF($B$5="AGI",F135,G135))))</f>
        <v>P</v>
      </c>
      <c r="K135" s="32" t="n">
        <f aca="false">IF(OR(H135=0,I135=0,J135=""),0,IF(IF(J135="X",1,IF(J135="P",$B$6,IF(J135="C",$B$7,IF(J135="DR",$B$8,IF(J135="T",$B$9,0)))))=1,1,0))</f>
        <v>0</v>
      </c>
      <c r="L135" s="32" t="str">
        <f aca="false">IF(K135=0,"",IF(LEN(TRIM(Scheda_2!$D$120&amp;""))=0,"MANCANTE",IF(LEFT(LOWER(TRIM(Scheda_2!$D$120&amp;"")),7)="non not","NON NOTO","ok")))</f>
        <v/>
      </c>
    </row>
    <row r="136" customFormat="false" ht="15" hidden="false" customHeight="false" outlineLevel="0" collapsed="false">
      <c r="A136" s="16" t="s">
        <v>394</v>
      </c>
      <c r="B136" s="31" t="s">
        <v>395</v>
      </c>
      <c r="C136" s="16" t="s">
        <v>271</v>
      </c>
      <c r="D136" s="32" t="s">
        <v>796</v>
      </c>
      <c r="E136" s="32"/>
      <c r="F136" s="32"/>
      <c r="G136" s="32" t="s">
        <v>796</v>
      </c>
      <c r="H136" s="32" t="n">
        <v>1</v>
      </c>
      <c r="I136" s="32" t="n">
        <v>1</v>
      </c>
      <c r="J136" s="32" t="str">
        <f aca="false">IF($B$5="","",IF($B$5="ORD",D136,IF($B$5="CON",E136,IF($B$5="AGI",F136,G136))))</f>
        <v>P</v>
      </c>
      <c r="K136" s="32" t="n">
        <f aca="false">IF(OR(H136=0,I136=0,J136=""),0,IF(IF(J136="X",1,IF(J136="P",$B$6,IF(J136="C",$B$7,IF(J136="DR",$B$8,IF(J136="T",$B$9,0)))))=1,1,0))</f>
        <v>0</v>
      </c>
      <c r="L136" s="32" t="str">
        <f aca="false">IF(K136=0,"",IF(LEN(TRIM(Scheda_2!$D$121&amp;""))=0,"MANCANTE",IF(LEFT(LOWER(TRIM(Scheda_2!$D$121&amp;"")),7)="non not","NON NOTO","ok")))</f>
        <v/>
      </c>
    </row>
    <row r="137" customFormat="false" ht="15" hidden="false" customHeight="false" outlineLevel="0" collapsed="false">
      <c r="A137" s="16" t="s">
        <v>396</v>
      </c>
      <c r="B137" s="31" t="s">
        <v>397</v>
      </c>
      <c r="C137" s="16" t="s">
        <v>271</v>
      </c>
      <c r="D137" s="32" t="s">
        <v>798</v>
      </c>
      <c r="E137" s="32"/>
      <c r="F137" s="32"/>
      <c r="G137" s="32" t="s">
        <v>798</v>
      </c>
      <c r="H137" s="32" t="n">
        <v>1</v>
      </c>
      <c r="I137" s="32" t="n">
        <v>1</v>
      </c>
      <c r="J137" s="32" t="str">
        <f aca="false">IF($B$5="","",IF($B$5="ORD",D137,IF($B$5="CON",E137,IF($B$5="AGI",F137,G137))))</f>
        <v>DR</v>
      </c>
      <c r="K137" s="32" t="n">
        <f aca="false">IF(OR(H137=0,I137=0,J137=""),0,IF(IF(J137="X",1,IF(J137="P",$B$6,IF(J137="C",$B$7,IF(J137="DR",$B$8,IF(J137="T",$B$9,0)))))=1,1,0))</f>
        <v>0</v>
      </c>
      <c r="L137" s="32" t="str">
        <f aca="false">IF(K137=0,"",IF(LEN(TRIM(Scheda_2!$D$122&amp;""))=0,"MANCANTE",IF(LEFT(LOWER(TRIM(Scheda_2!$D$122&amp;"")),7)="non not","NON NOTO","ok")))</f>
        <v/>
      </c>
    </row>
    <row r="138" customFormat="false" ht="15" hidden="false" customHeight="false" outlineLevel="0" collapsed="false">
      <c r="A138" s="16" t="s">
        <v>400</v>
      </c>
      <c r="B138" s="31" t="s">
        <v>401</v>
      </c>
      <c r="C138" s="16" t="s">
        <v>271</v>
      </c>
      <c r="D138" s="32" t="s">
        <v>799</v>
      </c>
      <c r="E138" s="32"/>
      <c r="F138" s="32"/>
      <c r="G138" s="32" t="s">
        <v>799</v>
      </c>
      <c r="H138" s="32" t="n">
        <v>1</v>
      </c>
      <c r="I138" s="32" t="n">
        <v>1</v>
      </c>
      <c r="J138" s="32" t="str">
        <f aca="false">IF($B$5="","",IF($B$5="ORD",D138,IF($B$5="CON",E138,IF($B$5="AGI",F138,G138))))</f>
        <v>T</v>
      </c>
      <c r="K138" s="32" t="n">
        <f aca="false">IF(OR(H138=0,I138=0,J138=""),0,IF(IF(J138="X",1,IF(J138="P",$B$6,IF(J138="C",$B$7,IF(J138="DR",$B$8,IF(J138="T",$B$9,0)))))=1,1,0))</f>
        <v>0</v>
      </c>
      <c r="L138" s="32" t="str">
        <f aca="false">IF(K138=0,"",IF(LEN(TRIM(Scheda_2!$D$123&amp;""))=0,"MANCANTE",IF(LEFT(LOWER(TRIM(Scheda_2!$D$123&amp;"")),7)="non not","NON NOTO","ok")))</f>
        <v/>
      </c>
    </row>
    <row r="139" customFormat="false" ht="15" hidden="false" customHeight="false" outlineLevel="0" collapsed="false">
      <c r="A139" s="16" t="s">
        <v>404</v>
      </c>
      <c r="B139" s="31" t="s">
        <v>405</v>
      </c>
      <c r="C139" s="16" t="s">
        <v>271</v>
      </c>
      <c r="D139" s="32" t="s">
        <v>799</v>
      </c>
      <c r="E139" s="32"/>
      <c r="F139" s="32"/>
      <c r="G139" s="32" t="s">
        <v>799</v>
      </c>
      <c r="H139" s="32" t="n">
        <v>1</v>
      </c>
      <c r="I139" s="32" t="n">
        <v>1</v>
      </c>
      <c r="J139" s="32" t="str">
        <f aca="false">IF($B$5="","",IF($B$5="ORD",D139,IF($B$5="CON",E139,IF($B$5="AGI",F139,G139))))</f>
        <v>T</v>
      </c>
      <c r="K139" s="32" t="n">
        <f aca="false">IF(OR(H139=0,I139=0,J139=""),0,IF(IF(J139="X",1,IF(J139="P",$B$6,IF(J139="C",$B$7,IF(J139="DR",$B$8,IF(J139="T",$B$9,0)))))=1,1,0))</f>
        <v>0</v>
      </c>
      <c r="L139" s="32" t="str">
        <f aca="false">IF(K139=0,"",IF(LEN(TRIM(Scheda_2!$D$124&amp;""))=0,"MANCANTE",IF(LEFT(LOWER(TRIM(Scheda_2!$D$124&amp;"")),7)="non not","NON NOTO","ok")))</f>
        <v/>
      </c>
    </row>
    <row r="140" customFormat="false" ht="15" hidden="false" customHeight="false" outlineLevel="0" collapsed="false">
      <c r="A140" s="16" t="s">
        <v>406</v>
      </c>
      <c r="B140" s="31" t="s">
        <v>407</v>
      </c>
      <c r="C140" s="16" t="s">
        <v>271</v>
      </c>
      <c r="D140" s="32" t="s">
        <v>799</v>
      </c>
      <c r="E140" s="32"/>
      <c r="F140" s="32"/>
      <c r="G140" s="32" t="s">
        <v>799</v>
      </c>
      <c r="H140" s="32" t="n">
        <v>1</v>
      </c>
      <c r="I140" s="32" t="n">
        <v>1</v>
      </c>
      <c r="J140" s="32" t="str">
        <f aca="false">IF($B$5="","",IF($B$5="ORD",D140,IF($B$5="CON",E140,IF($B$5="AGI",F140,G140))))</f>
        <v>T</v>
      </c>
      <c r="K140" s="32" t="n">
        <f aca="false">IF(OR(H140=0,I140=0,J140=""),0,IF(IF(J140="X",1,IF(J140="P",$B$6,IF(J140="C",$B$7,IF(J140="DR",$B$8,IF(J140="T",$B$9,0)))))=1,1,0))</f>
        <v>0</v>
      </c>
      <c r="L140" s="32" t="str">
        <f aca="false">IF(K140=0,"",IF(LEN(TRIM(Scheda_2!$D$125&amp;""))=0,"MANCANTE",IF(LEFT(LOWER(TRIM(Scheda_2!$D$125&amp;"")),7)="non not","NON NOTO","ok")))</f>
        <v/>
      </c>
    </row>
    <row r="141" customFormat="false" ht="15" hidden="false" customHeight="false" outlineLevel="0" collapsed="false">
      <c r="A141" s="16" t="s">
        <v>408</v>
      </c>
      <c r="B141" s="31" t="s">
        <v>409</v>
      </c>
      <c r="C141" s="16" t="s">
        <v>271</v>
      </c>
      <c r="D141" s="32" t="s">
        <v>799</v>
      </c>
      <c r="E141" s="32"/>
      <c r="F141" s="32"/>
      <c r="G141" s="32" t="s">
        <v>799</v>
      </c>
      <c r="H141" s="32" t="n">
        <v>1</v>
      </c>
      <c r="I141" s="32" t="n">
        <v>1</v>
      </c>
      <c r="J141" s="32" t="str">
        <f aca="false">IF($B$5="","",IF($B$5="ORD",D141,IF($B$5="CON",E141,IF($B$5="AGI",F141,G141))))</f>
        <v>T</v>
      </c>
      <c r="K141" s="32" t="n">
        <f aca="false">IF(OR(H141=0,I141=0,J141=""),0,IF(IF(J141="X",1,IF(J141="P",$B$6,IF(J141="C",$B$7,IF(J141="DR",$B$8,IF(J141="T",$B$9,0)))))=1,1,0))</f>
        <v>0</v>
      </c>
      <c r="L141" s="32" t="str">
        <f aca="false">IF(K141=0,"",IF(LEN(TRIM(Scheda_2!$D$126&amp;""))=0,"MANCANTE",IF(LEFT(LOWER(TRIM(Scheda_2!$D$126&amp;"")),7)="non not","NON NOTO","ok")))</f>
        <v/>
      </c>
    </row>
    <row r="142" customFormat="false" ht="15" hidden="false" customHeight="false" outlineLevel="0" collapsed="false">
      <c r="A142" s="16" t="s">
        <v>410</v>
      </c>
      <c r="B142" s="31" t="s">
        <v>411</v>
      </c>
      <c r="C142" s="16" t="s">
        <v>271</v>
      </c>
      <c r="D142" s="32" t="s">
        <v>799</v>
      </c>
      <c r="E142" s="32"/>
      <c r="F142" s="32"/>
      <c r="G142" s="32" t="s">
        <v>799</v>
      </c>
      <c r="H142" s="32" t="n">
        <v>1</v>
      </c>
      <c r="I142" s="32" t="n">
        <v>1</v>
      </c>
      <c r="J142" s="32" t="str">
        <f aca="false">IF($B$5="","",IF($B$5="ORD",D142,IF($B$5="CON",E142,IF($B$5="AGI",F142,G142))))</f>
        <v>T</v>
      </c>
      <c r="K142" s="32" t="n">
        <f aca="false">IF(OR(H142=0,I142=0,J142=""),0,IF(IF(J142="X",1,IF(J142="P",$B$6,IF(J142="C",$B$7,IF(J142="DR",$B$8,IF(J142="T",$B$9,0)))))=1,1,0))</f>
        <v>0</v>
      </c>
      <c r="L142" s="32" t="str">
        <f aca="false">IF(K142=0,"",IF(LEN(TRIM(Scheda_2!$D$127&amp;""))=0,"MANCANTE",IF(LEFT(LOWER(TRIM(Scheda_2!$D$127&amp;"")),7)="non not","NON NOTO","ok")))</f>
        <v/>
      </c>
    </row>
    <row r="143" customFormat="false" ht="15" hidden="false" customHeight="false" outlineLevel="0" collapsed="false">
      <c r="A143" s="16" t="s">
        <v>413</v>
      </c>
      <c r="B143" s="31" t="s">
        <v>415</v>
      </c>
      <c r="C143" s="16" t="s">
        <v>414</v>
      </c>
      <c r="D143" s="32" t="s">
        <v>796</v>
      </c>
      <c r="E143" s="32" t="s">
        <v>795</v>
      </c>
      <c r="F143" s="32" t="s">
        <v>795</v>
      </c>
      <c r="G143" s="32" t="s">
        <v>795</v>
      </c>
      <c r="H143" s="32" t="n">
        <v>1</v>
      </c>
      <c r="I143" s="32" t="n">
        <v>1</v>
      </c>
      <c r="J143" s="32" t="str">
        <f aca="false">IF($B$5="","",IF($B$5="ORD",D143,IF($B$5="CON",E143,IF($B$5="AGI",F143,G143))))</f>
        <v>P</v>
      </c>
      <c r="K143" s="32" t="n">
        <f aca="false">IF(OR(H143=0,I143=0,J143=""),0,IF(IF(J143="X",1,IF(J143="P",$B$6,IF(J143="C",$B$7,IF(J143="DR",$B$8,IF(J143="T",$B$9,0)))))=1,1,0))</f>
        <v>0</v>
      </c>
      <c r="L143" s="32" t="str">
        <f aca="false">IF(K143=0,"",IF(LEN(TRIM(Scheda_2!$D$129&amp;""))=0,"MANCANTE",IF(LEFT(LOWER(TRIM(Scheda_2!$D$129&amp;"")),7)="non not","NON NOTO","ok")))</f>
        <v/>
      </c>
    </row>
    <row r="144" customFormat="false" ht="15" hidden="false" customHeight="false" outlineLevel="0" collapsed="false">
      <c r="A144" s="16" t="s">
        <v>419</v>
      </c>
      <c r="B144" s="31" t="s">
        <v>420</v>
      </c>
      <c r="C144" s="16" t="s">
        <v>414</v>
      </c>
      <c r="D144" s="32"/>
      <c r="E144" s="32"/>
      <c r="F144" s="32" t="s">
        <v>795</v>
      </c>
      <c r="G144" s="32" t="s">
        <v>795</v>
      </c>
      <c r="H144" s="32" t="n">
        <v>1</v>
      </c>
      <c r="I144" s="32" t="n">
        <f aca="false">IF(Scheda_2!$D$129="Acquisita",1,0)</f>
        <v>0</v>
      </c>
      <c r="J144" s="32" t="n">
        <f aca="false">IF($B$5="","",IF($B$5="ORD",D144,IF($B$5="CON",E144,IF($B$5="AGI",F144,G144))))</f>
        <v>0</v>
      </c>
      <c r="K144" s="32" t="n">
        <f aca="false">IF(OR(H144=0,I144=0,J144=""),0,IF(IF(J144="X",1,IF(J144="P",$B$6,IF(J144="C",$B$7,IF(J144="DR",$B$8,IF(J144="T",$B$9,0)))))=1,1,0))</f>
        <v>0</v>
      </c>
      <c r="L144" s="32" t="str">
        <f aca="false">IF(K144=0,"",IF(LEN(TRIM(Scheda_2!$D$130&amp;""))=0,"MANCANTE",IF(LEFT(LOWER(TRIM(Scheda_2!$D$130&amp;"")),7)="non not","NON NOTO","ok")))</f>
        <v/>
      </c>
    </row>
    <row r="145" customFormat="false" ht="15" hidden="false" customHeight="false" outlineLevel="0" collapsed="false">
      <c r="A145" s="16" t="s">
        <v>422</v>
      </c>
      <c r="B145" s="31" t="s">
        <v>423</v>
      </c>
      <c r="C145" s="16" t="s">
        <v>414</v>
      </c>
      <c r="D145" s="32"/>
      <c r="E145" s="32"/>
      <c r="F145" s="32" t="s">
        <v>795</v>
      </c>
      <c r="G145" s="32" t="s">
        <v>795</v>
      </c>
      <c r="H145" s="32" t="n">
        <v>1</v>
      </c>
      <c r="I145" s="32" t="n">
        <f aca="false">IF(Scheda_2!$D$130="Sì",1,0)</f>
        <v>0</v>
      </c>
      <c r="J145" s="32" t="n">
        <f aca="false">IF($B$5="","",IF($B$5="ORD",D145,IF($B$5="CON",E145,IF($B$5="AGI",F145,G145))))</f>
        <v>0</v>
      </c>
      <c r="K145" s="32" t="n">
        <f aca="false">IF(OR(H145=0,I145=0,J145=""),0,IF(IF(J145="X",1,IF(J145="P",$B$6,IF(J145="C",$B$7,IF(J145="DR",$B$8,IF(J145="T",$B$9,0)))))=1,1,0))</f>
        <v>0</v>
      </c>
      <c r="L145" s="32" t="str">
        <f aca="false">IF(K145=0,"",IF(LEN(TRIM(Scheda_2!$D$131&amp;""))=0,"MANCANTE",IF(LEFT(LOWER(TRIM(Scheda_2!$D$131&amp;"")),7)="non not","NON NOTO","ok")))</f>
        <v/>
      </c>
    </row>
    <row r="146" customFormat="false" ht="15" hidden="false" customHeight="false" outlineLevel="0" collapsed="false">
      <c r="A146" s="16" t="s">
        <v>425</v>
      </c>
      <c r="B146" s="31" t="s">
        <v>426</v>
      </c>
      <c r="C146" s="16" t="s">
        <v>414</v>
      </c>
      <c r="D146" s="32" t="s">
        <v>795</v>
      </c>
      <c r="E146" s="32" t="s">
        <v>795</v>
      </c>
      <c r="F146" s="32"/>
      <c r="G146" s="32" t="s">
        <v>795</v>
      </c>
      <c r="H146" s="32" t="n">
        <v>1</v>
      </c>
      <c r="I146" s="32" t="n">
        <f aca="false">IF(AND(Scheda_2!$D$31&lt;&gt;"",Scheda_2!$D$31&lt;&gt;"Fuori"),1,0)</f>
        <v>1</v>
      </c>
      <c r="J146" s="32" t="str">
        <f aca="false">IF($B$5="","",IF($B$5="ORD",D146,IF($B$5="CON",E146,IF($B$5="AGI",F146,G146))))</f>
        <v>X</v>
      </c>
      <c r="K146" s="32" t="n">
        <f aca="false">IF(OR(H146=0,I146=0,J146=""),0,IF(IF(J146="X",1,IF(J146="P",$B$6,IF(J146="C",$B$7,IF(J146="DR",$B$8,IF(J146="T",$B$9,0)))))=1,1,0))</f>
        <v>1</v>
      </c>
      <c r="L146" s="32" t="str">
        <f aca="false">IF(K146=0,"",IF(LEN(TRIM(Scheda_2!$D$132&amp;""))=0,"MANCANTE",IF(LEFT(LOWER(TRIM(Scheda_2!$D$132&amp;"")),7)="non not","NON NOTO","ok")))</f>
        <v>NON NOTO</v>
      </c>
    </row>
    <row r="147" customFormat="false" ht="15" hidden="false" customHeight="false" outlineLevel="0" collapsed="false">
      <c r="A147" s="16" t="s">
        <v>429</v>
      </c>
      <c r="B147" s="31" t="s">
        <v>430</v>
      </c>
      <c r="C147" s="16" t="s">
        <v>414</v>
      </c>
      <c r="D147" s="32" t="s">
        <v>795</v>
      </c>
      <c r="E147" s="32" t="s">
        <v>795</v>
      </c>
      <c r="F147" s="32"/>
      <c r="G147" s="32" t="s">
        <v>795</v>
      </c>
      <c r="H147" s="32" t="n">
        <v>1</v>
      </c>
      <c r="I147" s="32" t="n">
        <f aca="false">IF(Scheda_2!$D$35="Sì",1,0)</f>
        <v>0</v>
      </c>
      <c r="J147" s="32" t="str">
        <f aca="false">IF($B$5="","",IF($B$5="ORD",D147,IF($B$5="CON",E147,IF($B$5="AGI",F147,G147))))</f>
        <v>X</v>
      </c>
      <c r="K147" s="32" t="n">
        <f aca="false">IF(OR(H147=0,I147=0,J147=""),0,IF(IF(J147="X",1,IF(J147="P",$B$6,IF(J147="C",$B$7,IF(J147="DR",$B$8,IF(J147="T",$B$9,0)))))=1,1,0))</f>
        <v>0</v>
      </c>
      <c r="L147" s="32" t="str">
        <f aca="false">IF(K147=0,"",IF(LEN(TRIM(Scheda_2!$D$133&amp;""))=0,"MANCANTE",IF(LEFT(LOWER(TRIM(Scheda_2!$D$133&amp;"")),7)="non not","NON NOTO","ok")))</f>
        <v/>
      </c>
    </row>
    <row r="148" customFormat="false" ht="15" hidden="false" customHeight="false" outlineLevel="0" collapsed="false">
      <c r="A148" s="16" t="s">
        <v>433</v>
      </c>
      <c r="B148" s="31" t="s">
        <v>434</v>
      </c>
      <c r="C148" s="16" t="s">
        <v>414</v>
      </c>
      <c r="D148" s="32" t="s">
        <v>795</v>
      </c>
      <c r="E148" s="32" t="s">
        <v>795</v>
      </c>
      <c r="F148" s="32"/>
      <c r="G148" s="32" t="s">
        <v>795</v>
      </c>
      <c r="H148" s="32" t="n">
        <v>1</v>
      </c>
      <c r="I148" s="32" t="n">
        <f aca="false">IF(Scheda_2!$D$32="Sì",1,0)</f>
        <v>0</v>
      </c>
      <c r="J148" s="32" t="str">
        <f aca="false">IF($B$5="","",IF($B$5="ORD",D148,IF($B$5="CON",E148,IF($B$5="AGI",F148,G148))))</f>
        <v>X</v>
      </c>
      <c r="K148" s="32" t="n">
        <f aca="false">IF(OR(H148=0,I148=0,J148=""),0,IF(IF(J148="X",1,IF(J148="P",$B$6,IF(J148="C",$B$7,IF(J148="DR",$B$8,IF(J148="T",$B$9,0)))))=1,1,0))</f>
        <v>0</v>
      </c>
      <c r="L148" s="32" t="str">
        <f aca="false">IF(K148=0,"",IF(LEN(TRIM(Scheda_2!$D$134&amp;""))=0,"MANCANTE",IF(LEFT(LOWER(TRIM(Scheda_2!$D$134&amp;"")),7)="non not","NON NOTO","ok")))</f>
        <v/>
      </c>
    </row>
    <row r="149" customFormat="false" ht="15" hidden="false" customHeight="false" outlineLevel="0" collapsed="false">
      <c r="A149" s="16" t="s">
        <v>437</v>
      </c>
      <c r="B149" s="31" t="s">
        <v>438</v>
      </c>
      <c r="C149" s="16" t="s">
        <v>414</v>
      </c>
      <c r="D149" s="32" t="s">
        <v>795</v>
      </c>
      <c r="E149" s="32"/>
      <c r="F149" s="32" t="s">
        <v>795</v>
      </c>
      <c r="G149" s="32" t="s">
        <v>795</v>
      </c>
      <c r="H149" s="32" t="n">
        <v>1</v>
      </c>
      <c r="I149" s="32" t="n">
        <f aca="false">IF(Scheda_2!$D$52="Sì",1,0)</f>
        <v>0</v>
      </c>
      <c r="J149" s="32" t="str">
        <f aca="false">IF($B$5="","",IF($B$5="ORD",D149,IF($B$5="CON",E149,IF($B$5="AGI",F149,G149))))</f>
        <v>X</v>
      </c>
      <c r="K149" s="32" t="n">
        <f aca="false">IF(OR(H149=0,I149=0,J149=""),0,IF(IF(J149="X",1,IF(J149="P",$B$6,IF(J149="C",$B$7,IF(J149="DR",$B$8,IF(J149="T",$B$9,0)))))=1,1,0))</f>
        <v>0</v>
      </c>
      <c r="L149" s="32" t="str">
        <f aca="false">IF(K149=0,"",IF(LEN(TRIM(Scheda_2!$D$135&amp;""))=0,"MANCANTE",IF(LEFT(LOWER(TRIM(Scheda_2!$D$135&amp;"")),7)="non not","NON NOTO","ok")))</f>
        <v/>
      </c>
    </row>
    <row r="150" customFormat="false" ht="15" hidden="false" customHeight="false" outlineLevel="0" collapsed="false">
      <c r="A150" s="16" t="s">
        <v>441</v>
      </c>
      <c r="B150" s="31" t="s">
        <v>442</v>
      </c>
      <c r="C150" s="16" t="s">
        <v>414</v>
      </c>
      <c r="D150" s="32" t="s">
        <v>795</v>
      </c>
      <c r="E150" s="32"/>
      <c r="F150" s="32" t="s">
        <v>795</v>
      </c>
      <c r="G150" s="32" t="s">
        <v>795</v>
      </c>
      <c r="H150" s="32" t="n">
        <v>1</v>
      </c>
      <c r="I150" s="32" t="n">
        <f aca="false">IF(Scheda_2!$D$135="Acquisita",1,0)</f>
        <v>0</v>
      </c>
      <c r="J150" s="32" t="str">
        <f aca="false">IF($B$5="","",IF($B$5="ORD",D150,IF($B$5="CON",E150,IF($B$5="AGI",F150,G150))))</f>
        <v>X</v>
      </c>
      <c r="K150" s="32" t="n">
        <f aca="false">IF(OR(H150=0,I150=0,J150=""),0,IF(IF(J150="X",1,IF(J150="P",$B$6,IF(J150="C",$B$7,IF(J150="DR",$B$8,IF(J150="T",$B$9,0)))))=1,1,0))</f>
        <v>0</v>
      </c>
      <c r="L150" s="32" t="str">
        <f aca="false">IF(K150=0,"",IF(LEN(TRIM(Scheda_2!$D$136&amp;""))=0,"MANCANTE",IF(LEFT(LOWER(TRIM(Scheda_2!$D$136&amp;"")),7)="non not","NON NOTO","ok")))</f>
        <v/>
      </c>
    </row>
    <row r="151" customFormat="false" ht="15" hidden="false" customHeight="false" outlineLevel="0" collapsed="false">
      <c r="A151" s="16" t="s">
        <v>445</v>
      </c>
      <c r="B151" s="31" t="s">
        <v>446</v>
      </c>
      <c r="C151" s="16" t="s">
        <v>414</v>
      </c>
      <c r="D151" s="32"/>
      <c r="E151" s="32"/>
      <c r="F151" s="32" t="s">
        <v>795</v>
      </c>
      <c r="G151" s="32"/>
      <c r="H151" s="32" t="n">
        <v>1</v>
      </c>
      <c r="I151" s="32" t="n">
        <v>1</v>
      </c>
      <c r="J151" s="32" t="n">
        <f aca="false">IF($B$5="","",IF($B$5="ORD",D151,IF($B$5="CON",E151,IF($B$5="AGI",F151,G151))))</f>
        <v>0</v>
      </c>
      <c r="K151" s="32" t="n">
        <f aca="false">IF(OR(H151=0,I151=0,J151=""),0,IF(IF(J151="X",1,IF(J151="P",$B$6,IF(J151="C",$B$7,IF(J151="DR",$B$8,IF(J151="T",$B$9,0)))))=1,1,0))</f>
        <v>0</v>
      </c>
      <c r="L151" s="32" t="str">
        <f aca="false">IF(K151=0,"",IF(LEN(TRIM(Scheda_2!$D$137&amp;""))=0,"MANCANTE",IF(LEFT(LOWER(TRIM(Scheda_2!$D$137&amp;"")),7)="non not","NON NOTO","ok")))</f>
        <v/>
      </c>
    </row>
    <row r="152" customFormat="false" ht="15" hidden="false" customHeight="false" outlineLevel="0" collapsed="false">
      <c r="A152" s="16" t="s">
        <v>449</v>
      </c>
      <c r="B152" s="31" t="s">
        <v>450</v>
      </c>
      <c r="C152" s="16" t="s">
        <v>414</v>
      </c>
      <c r="D152" s="32"/>
      <c r="E152" s="32"/>
      <c r="F152" s="32" t="s">
        <v>795</v>
      </c>
      <c r="G152" s="32"/>
      <c r="H152" s="32" t="n">
        <v>1</v>
      </c>
      <c r="I152" s="32" t="n">
        <v>1</v>
      </c>
      <c r="J152" s="32" t="n">
        <f aca="false">IF($B$5="","",IF($B$5="ORD",D152,IF($B$5="CON",E152,IF($B$5="AGI",F152,G152))))</f>
        <v>0</v>
      </c>
      <c r="K152" s="32" t="n">
        <f aca="false">IF(OR(H152=0,I152=0,J152=""),0,IF(IF(J152="X",1,IF(J152="P",$B$6,IF(J152="C",$B$7,IF(J152="DR",$B$8,IF(J152="T",$B$9,0)))))=1,1,0))</f>
        <v>0</v>
      </c>
      <c r="L152" s="32" t="str">
        <f aca="false">IF(K152=0,"",IF(LEN(TRIM(Scheda_2!$D$138&amp;""))=0,"MANCANTE",IF(LEFT(LOWER(TRIM(Scheda_2!$D$138&amp;"")),7)="non not","NON NOTO","ok")))</f>
        <v/>
      </c>
    </row>
    <row r="153" customFormat="false" ht="15" hidden="false" customHeight="false" outlineLevel="0" collapsed="false">
      <c r="A153" s="16" t="s">
        <v>452</v>
      </c>
      <c r="B153" s="31" t="s">
        <v>453</v>
      </c>
      <c r="C153" s="16" t="s">
        <v>414</v>
      </c>
      <c r="D153" s="32"/>
      <c r="E153" s="32"/>
      <c r="F153" s="32" t="s">
        <v>795</v>
      </c>
      <c r="G153" s="32"/>
      <c r="H153" s="32" t="n">
        <v>1</v>
      </c>
      <c r="I153" s="32" t="n">
        <v>1</v>
      </c>
      <c r="J153" s="32" t="n">
        <f aca="false">IF($B$5="","",IF($B$5="ORD",D153,IF($B$5="CON",E153,IF($B$5="AGI",F153,G153))))</f>
        <v>0</v>
      </c>
      <c r="K153" s="32" t="n">
        <f aca="false">IF(OR(H153=0,I153=0,J153=""),0,IF(IF(J153="X",1,IF(J153="P",$B$6,IF(J153="C",$B$7,IF(J153="DR",$B$8,IF(J153="T",$B$9,0)))))=1,1,0))</f>
        <v>0</v>
      </c>
      <c r="L153" s="32" t="str">
        <f aca="false">IF(K153=0,"",IF(LEN(TRIM(Scheda_2!$D$139&amp;""))=0,"MANCANTE",IF(LEFT(LOWER(TRIM(Scheda_2!$D$139&amp;"")),7)="non not","NON NOTO","ok")))</f>
        <v/>
      </c>
    </row>
    <row r="154" customFormat="false" ht="15" hidden="false" customHeight="false" outlineLevel="0" collapsed="false">
      <c r="A154" s="16" t="s">
        <v>454</v>
      </c>
      <c r="B154" s="31" t="s">
        <v>455</v>
      </c>
      <c r="C154" s="16" t="s">
        <v>414</v>
      </c>
      <c r="D154" s="32"/>
      <c r="E154" s="32"/>
      <c r="F154" s="32" t="s">
        <v>795</v>
      </c>
      <c r="G154" s="32"/>
      <c r="H154" s="32" t="n">
        <v>1</v>
      </c>
      <c r="I154" s="32" t="n">
        <v>1</v>
      </c>
      <c r="J154" s="32" t="n">
        <f aca="false">IF($B$5="","",IF($B$5="ORD",D154,IF($B$5="CON",E154,IF($B$5="AGI",F154,G154))))</f>
        <v>0</v>
      </c>
      <c r="K154" s="32" t="n">
        <f aca="false">IF(OR(H154=0,I154=0,J154=""),0,IF(IF(J154="X",1,IF(J154="P",$B$6,IF(J154="C",$B$7,IF(J154="DR",$B$8,IF(J154="T",$B$9,0)))))=1,1,0))</f>
        <v>0</v>
      </c>
      <c r="L154" s="32" t="str">
        <f aca="false">IF(K154=0,"",IF(LEN(TRIM(Scheda_2!$D$140&amp;""))=0,"MANCANTE",IF(LEFT(LOWER(TRIM(Scheda_2!$D$140&amp;"")),7)="non not","NON NOTO","ok")))</f>
        <v/>
      </c>
    </row>
    <row r="155" customFormat="false" ht="15" hidden="false" customHeight="false" outlineLevel="0" collapsed="false">
      <c r="A155" s="16" t="s">
        <v>456</v>
      </c>
      <c r="B155" s="31" t="s">
        <v>457</v>
      </c>
      <c r="C155" s="16" t="s">
        <v>414</v>
      </c>
      <c r="D155" s="32"/>
      <c r="E155" s="32"/>
      <c r="F155" s="32" t="s">
        <v>795</v>
      </c>
      <c r="G155" s="32"/>
      <c r="H155" s="32" t="n">
        <v>1</v>
      </c>
      <c r="I155" s="32" t="n">
        <v>1</v>
      </c>
      <c r="J155" s="32" t="n">
        <f aca="false">IF($B$5="","",IF($B$5="ORD",D155,IF($B$5="CON",E155,IF($B$5="AGI",F155,G155))))</f>
        <v>0</v>
      </c>
      <c r="K155" s="32" t="n">
        <f aca="false">IF(OR(H155=0,I155=0,J155=""),0,IF(IF(J155="X",1,IF(J155="P",$B$6,IF(J155="C",$B$7,IF(J155="DR",$B$8,IF(J155="T",$B$9,0)))))=1,1,0))</f>
        <v>0</v>
      </c>
      <c r="L155" s="32" t="str">
        <f aca="false">IF(K155=0,"",IF(LEN(TRIM(Scheda_2!$D$141&amp;""))=0,"MANCANTE",IF(LEFT(LOWER(TRIM(Scheda_2!$D$141&amp;"")),7)="non not","NON NOTO","ok")))</f>
        <v/>
      </c>
    </row>
    <row r="156" customFormat="false" ht="15" hidden="false" customHeight="false" outlineLevel="0" collapsed="false">
      <c r="A156" s="16" t="s">
        <v>459</v>
      </c>
      <c r="B156" s="31" t="s">
        <v>460</v>
      </c>
      <c r="C156" s="16" t="s">
        <v>414</v>
      </c>
      <c r="D156" s="32"/>
      <c r="E156" s="32"/>
      <c r="F156" s="32" t="s">
        <v>795</v>
      </c>
      <c r="G156" s="32"/>
      <c r="H156" s="32" t="n">
        <v>1</v>
      </c>
      <c r="I156" s="32" t="n">
        <v>1</v>
      </c>
      <c r="J156" s="32" t="n">
        <f aca="false">IF($B$5="","",IF($B$5="ORD",D156,IF($B$5="CON",E156,IF($B$5="AGI",F156,G156))))</f>
        <v>0</v>
      </c>
      <c r="K156" s="32" t="n">
        <f aca="false">IF(OR(H156=0,I156=0,J156=""),0,IF(IF(J156="X",1,IF(J156="P",$B$6,IF(J156="C",$B$7,IF(J156="DR",$B$8,IF(J156="T",$B$9,0)))))=1,1,0))</f>
        <v>0</v>
      </c>
      <c r="L156" s="32" t="str">
        <f aca="false">IF(K156=0,"",IF(LEN(TRIM(Scheda_2!$D$142&amp;""))=0,"MANCANTE",IF(LEFT(LOWER(TRIM(Scheda_2!$D$142&amp;"")),7)="non not","NON NOTO","ok")))</f>
        <v/>
      </c>
    </row>
    <row r="157" customFormat="false" ht="15" hidden="false" customHeight="false" outlineLevel="0" collapsed="false">
      <c r="A157" s="16" t="s">
        <v>464</v>
      </c>
      <c r="B157" s="31" t="s">
        <v>466</v>
      </c>
      <c r="C157" s="16" t="s">
        <v>465</v>
      </c>
      <c r="D157" s="32" t="s">
        <v>795</v>
      </c>
      <c r="E157" s="32" t="s">
        <v>795</v>
      </c>
      <c r="F157" s="32" t="s">
        <v>795</v>
      </c>
      <c r="G157" s="32" t="s">
        <v>795</v>
      </c>
      <c r="H157" s="32" t="n">
        <v>1</v>
      </c>
      <c r="I157" s="32" t="n">
        <v>1</v>
      </c>
      <c r="J157" s="32" t="str">
        <f aca="false">IF($B$5="","",IF($B$5="ORD",D157,IF($B$5="CON",E157,IF($B$5="AGI",F157,G157))))</f>
        <v>X</v>
      </c>
      <c r="K157" s="32" t="n">
        <f aca="false">IF(H157=1,1,0)</f>
        <v>1</v>
      </c>
      <c r="L157" s="32" t="str">
        <f aca="false">IF(K157=0,"",IF(LEN(TRIM(Scheda_2!$D$145&amp;""))=0,"MANCANTE",IF(LEFT(LOWER(TRIM(Scheda_2!$D$145&amp;"")),7)="non not","NON NOTO","ok")))</f>
        <v>ok</v>
      </c>
    </row>
    <row r="158" customFormat="false" ht="15" hidden="false" customHeight="false" outlineLevel="0" collapsed="false">
      <c r="A158" s="16" t="s">
        <v>468</v>
      </c>
      <c r="B158" s="31" t="s">
        <v>469</v>
      </c>
      <c r="C158" s="16" t="s">
        <v>465</v>
      </c>
      <c r="D158" s="32"/>
      <c r="E158" s="32" t="s">
        <v>795</v>
      </c>
      <c r="F158" s="32"/>
      <c r="G158" s="32"/>
      <c r="H158" s="32" t="n">
        <f aca="false">IF(Scheda_2!$D$145="Sì",1,0)</f>
        <v>0</v>
      </c>
      <c r="I158" s="32" t="n">
        <v>1</v>
      </c>
      <c r="J158" s="32" t="n">
        <f aca="false">IF($B$5="","",IF($B$5="ORD",D158,IF($B$5="CON",E158,IF($B$5="AGI",F158,G158))))</f>
        <v>0</v>
      </c>
      <c r="K158" s="32" t="n">
        <f aca="false">IF(OR(H158=0,I158=0,J158=""),0,IF(IF(J158="X",1,IF(J158="P",$B$6,IF(J158="C",$B$7,IF(J158="DR",$B$8,IF(J158="T",$B$9,0)))))=1,1,0))</f>
        <v>0</v>
      </c>
      <c r="L158" s="32" t="str">
        <f aca="false">IF(K158=0,"",IF(LEN(TRIM(Scheda_2!$D$146&amp;""))=0,"MANCANTE",IF(LEFT(LOWER(TRIM(Scheda_2!$D$146&amp;"")),7)="non not","NON NOTO","ok")))</f>
        <v/>
      </c>
    </row>
    <row r="159" customFormat="false" ht="15" hidden="false" customHeight="false" outlineLevel="0" collapsed="false">
      <c r="A159" s="16" t="s">
        <v>471</v>
      </c>
      <c r="B159" s="31" t="s">
        <v>472</v>
      </c>
      <c r="C159" s="16" t="s">
        <v>465</v>
      </c>
      <c r="D159" s="32"/>
      <c r="E159" s="32" t="s">
        <v>795</v>
      </c>
      <c r="F159" s="32"/>
      <c r="G159" s="32"/>
      <c r="H159" s="32" t="n">
        <f aca="false">IF(Scheda_2!$D$145="Sì",1,0)</f>
        <v>0</v>
      </c>
      <c r="I159" s="32" t="n">
        <v>1</v>
      </c>
      <c r="J159" s="32" t="n">
        <f aca="false">IF($B$5="","",IF($B$5="ORD",D159,IF($B$5="CON",E159,IF($B$5="AGI",F159,G159))))</f>
        <v>0</v>
      </c>
      <c r="K159" s="32" t="n">
        <f aca="false">IF(OR(H159=0,I159=0,J159=""),0,IF(IF(J159="X",1,IF(J159="P",$B$6,IF(J159="C",$B$7,IF(J159="DR",$B$8,IF(J159="T",$B$9,0)))))=1,1,0))</f>
        <v>0</v>
      </c>
      <c r="L159" s="32" t="str">
        <f aca="false">IF(K159=0,"",IF(LEN(TRIM(Scheda_2!$D$147&amp;""))=0,"MANCANTE",IF(LEFT(LOWER(TRIM(Scheda_2!$D$147&amp;"")),7)="non not","NON NOTO","ok")))</f>
        <v/>
      </c>
    </row>
    <row r="160" customFormat="false" ht="15" hidden="false" customHeight="false" outlineLevel="0" collapsed="false">
      <c r="A160" s="16" t="s">
        <v>474</v>
      </c>
      <c r="B160" s="31" t="s">
        <v>475</v>
      </c>
      <c r="C160" s="16" t="s">
        <v>465</v>
      </c>
      <c r="D160" s="32"/>
      <c r="E160" s="32"/>
      <c r="F160" s="32"/>
      <c r="G160" s="32"/>
      <c r="H160" s="32" t="n">
        <f aca="false">IF(Scheda_2!$D$145="Sì",1,0)</f>
        <v>0</v>
      </c>
      <c r="I160" s="32" t="n">
        <v>1</v>
      </c>
      <c r="J160" s="32" t="n">
        <f aca="false">IF($B$5="","",IF($B$5="ORD",D160,IF($B$5="CON",E160,IF($B$5="AGI",F160,G160))))</f>
        <v>0</v>
      </c>
      <c r="K160" s="32" t="n">
        <v>0</v>
      </c>
      <c r="L160" s="32" t="str">
        <f aca="false">IF(K160=0,"",IF(LEN(TRIM(Scheda_2!$D$148&amp;""))=0,"MANCANTE",IF(LEFT(LOWER(TRIM(Scheda_2!$D$148&amp;"")),7)="non not","NON NOTO","ok")))</f>
        <v/>
      </c>
    </row>
    <row r="161" customFormat="false" ht="15" hidden="false" customHeight="false" outlineLevel="0" collapsed="false">
      <c r="A161" s="16" t="s">
        <v>477</v>
      </c>
      <c r="B161" s="31" t="s">
        <v>478</v>
      </c>
      <c r="C161" s="16" t="s">
        <v>465</v>
      </c>
      <c r="D161" s="32"/>
      <c r="E161" s="32" t="s">
        <v>795</v>
      </c>
      <c r="F161" s="32"/>
      <c r="G161" s="32"/>
      <c r="H161" s="32" t="n">
        <f aca="false">IF(Scheda_2!$D$145="Sì",1,0)</f>
        <v>0</v>
      </c>
      <c r="I161" s="32" t="n">
        <v>1</v>
      </c>
      <c r="J161" s="32" t="n">
        <f aca="false">IF($B$5="","",IF($B$5="ORD",D161,IF($B$5="CON",E161,IF($B$5="AGI",F161,G161))))</f>
        <v>0</v>
      </c>
      <c r="K161" s="32" t="n">
        <f aca="false">IF(OR(H161=0,I161=0,J161=""),0,IF(IF(J161="X",1,IF(J161="P",$B$6,IF(J161="C",$B$7,IF(J161="DR",$B$8,IF(J161="T",$B$9,0)))))=1,1,0))</f>
        <v>0</v>
      </c>
      <c r="L161" s="32" t="str">
        <f aca="false">IF(K161=0,"",IF(LEN(TRIM(Scheda_2!$D$149&amp;""))=0,"MANCANTE",IF(LEFT(LOWER(TRIM(Scheda_2!$D$149&amp;"")),7)="non not","NON NOTO","ok")))</f>
        <v/>
      </c>
    </row>
    <row r="162" customFormat="false" ht="15" hidden="false" customHeight="false" outlineLevel="0" collapsed="false">
      <c r="A162" s="16" t="s">
        <v>480</v>
      </c>
      <c r="B162" s="31" t="s">
        <v>481</v>
      </c>
      <c r="C162" s="16" t="s">
        <v>465</v>
      </c>
      <c r="D162" s="32"/>
      <c r="E162" s="32" t="s">
        <v>795</v>
      </c>
      <c r="F162" s="32"/>
      <c r="G162" s="32"/>
      <c r="H162" s="32" t="n">
        <f aca="false">IF(Scheda_2!$D$145="Sì",1,0)</f>
        <v>0</v>
      </c>
      <c r="I162" s="32" t="n">
        <v>1</v>
      </c>
      <c r="J162" s="32" t="n">
        <f aca="false">IF($B$5="","",IF($B$5="ORD",D162,IF($B$5="CON",E162,IF($B$5="AGI",F162,G162))))</f>
        <v>0</v>
      </c>
      <c r="K162" s="32" t="n">
        <f aca="false">IF(OR(H162=0,I162=0,J162=""),0,IF(IF(J162="X",1,IF(J162="P",$B$6,IF(J162="C",$B$7,IF(J162="DR",$B$8,IF(J162="T",$B$9,0)))))=1,1,0))</f>
        <v>0</v>
      </c>
      <c r="L162" s="32" t="str">
        <f aca="false">IF(K162=0,"",IF(LEN(TRIM(Scheda_2!$D$150&amp;""))=0,"MANCANTE",IF(LEFT(LOWER(TRIM(Scheda_2!$D$150&amp;"")),7)="non not","NON NOTO","ok")))</f>
        <v/>
      </c>
    </row>
    <row r="163" customFormat="false" ht="15" hidden="false" customHeight="false" outlineLevel="0" collapsed="false">
      <c r="A163" s="16" t="s">
        <v>483</v>
      </c>
      <c r="B163" s="31" t="s">
        <v>484</v>
      </c>
      <c r="C163" s="16" t="s">
        <v>465</v>
      </c>
      <c r="D163" s="32"/>
      <c r="E163" s="32" t="s">
        <v>795</v>
      </c>
      <c r="F163" s="32"/>
      <c r="G163" s="32"/>
      <c r="H163" s="32" t="n">
        <f aca="false">IF(Scheda_2!$D$145="Sì",1,0)</f>
        <v>0</v>
      </c>
      <c r="I163" s="32" t="n">
        <v>1</v>
      </c>
      <c r="J163" s="32" t="n">
        <f aca="false">IF($B$5="","",IF($B$5="ORD",D163,IF($B$5="CON",E163,IF($B$5="AGI",F163,G163))))</f>
        <v>0</v>
      </c>
      <c r="K163" s="32" t="n">
        <f aca="false">IF(OR(H163=0,I163=0,J163=""),0,IF(IF(J163="X",1,IF(J163="P",$B$6,IF(J163="C",$B$7,IF(J163="DR",$B$8,IF(J163="T",$B$9,0)))))=1,1,0))</f>
        <v>0</v>
      </c>
      <c r="L163" s="32" t="str">
        <f aca="false">IF(K163=0,"",IF(LEN(TRIM(Scheda_2!$D$151&amp;""))=0,"MANCANTE",IF(LEFT(LOWER(TRIM(Scheda_2!$D$151&amp;"")),7)="non not","NON NOTO","ok")))</f>
        <v/>
      </c>
    </row>
    <row r="164" customFormat="false" ht="15" hidden="false" customHeight="false" outlineLevel="0" collapsed="false">
      <c r="A164" s="16" t="s">
        <v>486</v>
      </c>
      <c r="B164" s="31" t="s">
        <v>487</v>
      </c>
      <c r="C164" s="16" t="s">
        <v>465</v>
      </c>
      <c r="D164" s="32"/>
      <c r="E164" s="32" t="s">
        <v>795</v>
      </c>
      <c r="F164" s="32"/>
      <c r="G164" s="32"/>
      <c r="H164" s="32" t="n">
        <f aca="false">IF(Scheda_2!$D$145="Sì",1,0)</f>
        <v>0</v>
      </c>
      <c r="I164" s="32" t="n">
        <v>1</v>
      </c>
      <c r="J164" s="32" t="n">
        <f aca="false">IF($B$5="","",IF($B$5="ORD",D164,IF($B$5="CON",E164,IF($B$5="AGI",F164,G164))))</f>
        <v>0</v>
      </c>
      <c r="K164" s="32" t="n">
        <f aca="false">IF(OR(H164=0,I164=0,J164=""),0,IF(IF(J164="X",1,IF(J164="P",$B$6,IF(J164="C",$B$7,IF(J164="DR",$B$8,IF(J164="T",$B$9,0)))))=1,1,0))</f>
        <v>0</v>
      </c>
      <c r="L164" s="32" t="str">
        <f aca="false">IF(K164=0,"",IF(LEN(TRIM(Scheda_2!$D$152&amp;""))=0,"MANCANTE",IF(LEFT(LOWER(TRIM(Scheda_2!$D$152&amp;"")),7)="non not","NON NOTO","ok")))</f>
        <v/>
      </c>
    </row>
    <row r="165" customFormat="false" ht="15" hidden="false" customHeight="false" outlineLevel="0" collapsed="false">
      <c r="A165" s="16" t="s">
        <v>489</v>
      </c>
      <c r="B165" s="31" t="s">
        <v>490</v>
      </c>
      <c r="C165" s="16" t="s">
        <v>465</v>
      </c>
      <c r="D165" s="32"/>
      <c r="E165" s="32" t="s">
        <v>795</v>
      </c>
      <c r="F165" s="32"/>
      <c r="G165" s="32"/>
      <c r="H165" s="32" t="n">
        <f aca="false">IF(Scheda_2!$D$145="Sì",1,0)</f>
        <v>0</v>
      </c>
      <c r="I165" s="32" t="n">
        <v>1</v>
      </c>
      <c r="J165" s="32" t="n">
        <f aca="false">IF($B$5="","",IF($B$5="ORD",D165,IF($B$5="CON",E165,IF($B$5="AGI",F165,G165))))</f>
        <v>0</v>
      </c>
      <c r="K165" s="32" t="n">
        <f aca="false">IF(OR(H165=0,I165=0,J165=""),0,IF(IF(J165="X",1,IF(J165="P",$B$6,IF(J165="C",$B$7,IF(J165="DR",$B$8,IF(J165="T",$B$9,0)))))=1,1,0))</f>
        <v>0</v>
      </c>
      <c r="L165" s="32" t="str">
        <f aca="false">IF(K165=0,"",IF(LEN(TRIM(Scheda_2!$D$153&amp;""))=0,"MANCANTE",IF(LEFT(LOWER(TRIM(Scheda_2!$D$153&amp;"")),7)="non not","NON NOTO","ok")))</f>
        <v/>
      </c>
    </row>
    <row r="166" customFormat="false" ht="15" hidden="false" customHeight="false" outlineLevel="0" collapsed="false">
      <c r="A166" s="16" t="s">
        <v>492</v>
      </c>
      <c r="B166" s="31" t="s">
        <v>493</v>
      </c>
      <c r="C166" s="16" t="s">
        <v>465</v>
      </c>
      <c r="D166" s="32"/>
      <c r="E166" s="32" t="s">
        <v>795</v>
      </c>
      <c r="F166" s="32"/>
      <c r="G166" s="32"/>
      <c r="H166" s="32" t="n">
        <f aca="false">IF(Scheda_2!$D$145="Sì",1,0)</f>
        <v>0</v>
      </c>
      <c r="I166" s="32" t="n">
        <v>1</v>
      </c>
      <c r="J166" s="32" t="n">
        <f aca="false">IF($B$5="","",IF($B$5="ORD",D166,IF($B$5="CON",E166,IF($B$5="AGI",F166,G166))))</f>
        <v>0</v>
      </c>
      <c r="K166" s="32" t="n">
        <f aca="false">IF(OR(H166=0,I166=0,J166=""),0,IF(IF(J166="X",1,IF(J166="P",$B$6,IF(J166="C",$B$7,IF(J166="DR",$B$8,IF(J166="T",$B$9,0)))))=1,1,0))</f>
        <v>0</v>
      </c>
      <c r="L166" s="32" t="str">
        <f aca="false">IF(K166=0,"",IF(LEN(TRIM(Scheda_2!$D$154&amp;""))=0,"MANCANTE",IF(LEFT(LOWER(TRIM(Scheda_2!$D$154&amp;"")),7)="non not","NON NOTO","ok")))</f>
        <v/>
      </c>
    </row>
    <row r="167" customFormat="false" ht="15" hidden="false" customHeight="false" outlineLevel="0" collapsed="false">
      <c r="A167" s="16" t="s">
        <v>495</v>
      </c>
      <c r="B167" s="31" t="s">
        <v>496</v>
      </c>
      <c r="C167" s="16" t="s">
        <v>465</v>
      </c>
      <c r="D167" s="32"/>
      <c r="E167" s="32" t="s">
        <v>795</v>
      </c>
      <c r="F167" s="32"/>
      <c r="G167" s="32"/>
      <c r="H167" s="32" t="n">
        <f aca="false">IF(Scheda_2!$D$145="Sì",1,0)</f>
        <v>0</v>
      </c>
      <c r="I167" s="32" t="n">
        <v>1</v>
      </c>
      <c r="J167" s="32" t="n">
        <f aca="false">IF($B$5="","",IF($B$5="ORD",D167,IF($B$5="CON",E167,IF($B$5="AGI",F167,G167))))</f>
        <v>0</v>
      </c>
      <c r="K167" s="32" t="n">
        <f aca="false">IF(OR(H167=0,I167=0,J167=""),0,IF(IF(J167="X",1,IF(J167="P",$B$6,IF(J167="C",$B$7,IF(J167="DR",$B$8,IF(J167="T",$B$9,0)))))=1,1,0))</f>
        <v>0</v>
      </c>
      <c r="L167" s="32" t="str">
        <f aca="false">IF(K167=0,"",IF(LEN(TRIM(Scheda_2!$D$155&amp;""))=0,"MANCANTE",IF(LEFT(LOWER(TRIM(Scheda_2!$D$155&amp;"")),7)="non not","NON NOTO","ok")))</f>
        <v/>
      </c>
    </row>
    <row r="168" customFormat="false" ht="15" hidden="false" customHeight="false" outlineLevel="0" collapsed="false">
      <c r="A168" s="16" t="s">
        <v>498</v>
      </c>
      <c r="B168" s="31" t="s">
        <v>499</v>
      </c>
      <c r="C168" s="16" t="s">
        <v>465</v>
      </c>
      <c r="D168" s="32"/>
      <c r="E168" s="32" t="s">
        <v>795</v>
      </c>
      <c r="F168" s="32"/>
      <c r="G168" s="32"/>
      <c r="H168" s="32" t="n">
        <f aca="false">IF(Scheda_2!$D$145="Sì",1,0)</f>
        <v>0</v>
      </c>
      <c r="I168" s="32" t="n">
        <v>1</v>
      </c>
      <c r="J168" s="32" t="n">
        <f aca="false">IF($B$5="","",IF($B$5="ORD",D168,IF($B$5="CON",E168,IF($B$5="AGI",F168,G168))))</f>
        <v>0</v>
      </c>
      <c r="K168" s="32" t="n">
        <f aca="false">IF(OR(H168=0,I168=0,J168=""),0,IF(IF(J168="X",1,IF(J168="P",$B$6,IF(J168="C",$B$7,IF(J168="DR",$B$8,IF(J168="T",$B$9,0)))))=1,1,0))</f>
        <v>0</v>
      </c>
      <c r="L168" s="32" t="str">
        <f aca="false">IF(K168=0,"",IF(LEN(TRIM(Scheda_2!$D$156&amp;""))=0,"MANCANTE",IF(LEFT(LOWER(TRIM(Scheda_2!$D$156&amp;"")),7)="non not","NON NOTO","ok")))</f>
        <v/>
      </c>
    </row>
    <row r="169" customFormat="false" ht="15" hidden="false" customHeight="false" outlineLevel="0" collapsed="false">
      <c r="A169" s="16" t="s">
        <v>500</v>
      </c>
      <c r="B169" s="31" t="s">
        <v>501</v>
      </c>
      <c r="C169" s="16" t="s">
        <v>465</v>
      </c>
      <c r="D169" s="32"/>
      <c r="E169" s="32" t="s">
        <v>795</v>
      </c>
      <c r="F169" s="32"/>
      <c r="G169" s="32"/>
      <c r="H169" s="32" t="n">
        <f aca="false">IF(Scheda_2!$D$145="Sì",1,0)</f>
        <v>0</v>
      </c>
      <c r="I169" s="32" t="n">
        <v>1</v>
      </c>
      <c r="J169" s="32" t="n">
        <f aca="false">IF($B$5="","",IF($B$5="ORD",D169,IF($B$5="CON",E169,IF($B$5="AGI",F169,G169))))</f>
        <v>0</v>
      </c>
      <c r="K169" s="32" t="n">
        <f aca="false">IF(OR(H169=0,I169=0,J169=""),0,IF(IF(J169="X",1,IF(J169="P",$B$6,IF(J169="C",$B$7,IF(J169="DR",$B$8,IF(J169="T",$B$9,0)))))=1,1,0))</f>
        <v>0</v>
      </c>
      <c r="L169" s="32" t="str">
        <f aca="false">IF(K169=0,"",IF(LEN(TRIM(Scheda_2!$D$157&amp;""))=0,"MANCANTE",IF(LEFT(LOWER(TRIM(Scheda_2!$D$157&amp;"")),7)="non not","NON NOTO","ok")))</f>
        <v/>
      </c>
    </row>
    <row r="170" customFormat="false" ht="15" hidden="false" customHeight="false" outlineLevel="0" collapsed="false">
      <c r="A170" s="16" t="s">
        <v>503</v>
      </c>
      <c r="B170" s="31" t="s">
        <v>504</v>
      </c>
      <c r="C170" s="16" t="s">
        <v>465</v>
      </c>
      <c r="D170" s="32"/>
      <c r="E170" s="32" t="s">
        <v>795</v>
      </c>
      <c r="F170" s="32"/>
      <c r="G170" s="32"/>
      <c r="H170" s="32" t="n">
        <f aca="false">IF(Scheda_2!$D$145="Sì",1,0)</f>
        <v>0</v>
      </c>
      <c r="I170" s="32" t="n">
        <v>1</v>
      </c>
      <c r="J170" s="32" t="n">
        <f aca="false">IF($B$5="","",IF($B$5="ORD",D170,IF($B$5="CON",E170,IF($B$5="AGI",F170,G170))))</f>
        <v>0</v>
      </c>
      <c r="K170" s="32" t="n">
        <f aca="false">IF(OR(H170=0,I170=0,J170=""),0,IF(IF(J170="X",1,IF(J170="P",$B$6,IF(J170="C",$B$7,IF(J170="DR",$B$8,IF(J170="T",$B$9,0)))))=1,1,0))</f>
        <v>0</v>
      </c>
      <c r="L170" s="32" t="str">
        <f aca="false">IF(K170=0,"",IF(LEN(TRIM(Scheda_2!$D$158&amp;""))=0,"MANCANTE",IF(LEFT(LOWER(TRIM(Scheda_2!$D$158&amp;"")),7)="non not","NON NOTO","ok")))</f>
        <v/>
      </c>
    </row>
    <row r="171" customFormat="false" ht="15" hidden="false" customHeight="false" outlineLevel="0" collapsed="false">
      <c r="A171" s="16" t="s">
        <v>505</v>
      </c>
      <c r="B171" s="31" t="s">
        <v>506</v>
      </c>
      <c r="C171" s="16" t="s">
        <v>465</v>
      </c>
      <c r="D171" s="32"/>
      <c r="E171" s="32" t="s">
        <v>795</v>
      </c>
      <c r="F171" s="32"/>
      <c r="G171" s="32"/>
      <c r="H171" s="32" t="n">
        <f aca="false">IF(Scheda_2!$D$145="Sì",1,0)</f>
        <v>0</v>
      </c>
      <c r="I171" s="32" t="n">
        <f aca="false">IF(Scheda_2!$D$19="Condono L. 326/03",1,0)</f>
        <v>0</v>
      </c>
      <c r="J171" s="32" t="n">
        <f aca="false">IF($B$5="","",IF($B$5="ORD",D171,IF($B$5="CON",E171,IF($B$5="AGI",F171,G171))))</f>
        <v>0</v>
      </c>
      <c r="K171" s="32" t="n">
        <f aca="false">IF(OR(H171=0,I171=0,J171=""),0,IF(IF(J171="X",1,IF(J171="P",$B$6,IF(J171="C",$B$7,IF(J171="DR",$B$8,IF(J171="T",$B$9,0)))))=1,1,0))</f>
        <v>0</v>
      </c>
      <c r="L171" s="32" t="str">
        <f aca="false">IF(K171=0,"",IF(LEN(TRIM(Scheda_2!$D$159&amp;""))=0,"MANCANTE",IF(LEFT(LOWER(TRIM(Scheda_2!$D$159&amp;"")),7)="non not","NON NOTO","ok")))</f>
        <v/>
      </c>
    </row>
    <row r="172" customFormat="false" ht="15" hidden="false" customHeight="false" outlineLevel="0" collapsed="false">
      <c r="A172" s="16" t="s">
        <v>509</v>
      </c>
      <c r="B172" s="31" t="s">
        <v>510</v>
      </c>
      <c r="C172" s="16" t="s">
        <v>465</v>
      </c>
      <c r="D172" s="32"/>
      <c r="E172" s="32" t="s">
        <v>795</v>
      </c>
      <c r="F172" s="32"/>
      <c r="G172" s="32"/>
      <c r="H172" s="32" t="n">
        <f aca="false">IF(Scheda_2!$D$145="Sì",1,0)</f>
        <v>0</v>
      </c>
      <c r="I172" s="32" t="n">
        <f aca="false">IF(AND(Scheda_2!$D$19="Condono L. 326/03",Scheda_2!$D$159&lt;&gt;"",IFERROR(VALUE(LEFT(Scheda_2!$D$159,1)),0)&gt;=3),1,0)</f>
        <v>0</v>
      </c>
      <c r="J172" s="32" t="n">
        <f aca="false">IF($B$5="","",IF($B$5="ORD",D172,IF($B$5="CON",E172,IF($B$5="AGI",F172,G172))))</f>
        <v>0</v>
      </c>
      <c r="K172" s="32" t="n">
        <f aca="false">IF(OR(H172=0,I172=0,J172=""),0,IF(IF(J172="X",1,IF(J172="P",$B$6,IF(J172="C",$B$7,IF(J172="DR",$B$8,IF(J172="T",$B$9,0)))))=1,1,0))</f>
        <v>0</v>
      </c>
      <c r="L172" s="32" t="str">
        <f aca="false">IF(K172=0,"",IF(LEN(TRIM(Scheda_2!$D$160&amp;""))=0,"MANCANTE",IF(LEFT(LOWER(TRIM(Scheda_2!$D$160&amp;"")),7)="non not","NON NOTO","ok")))</f>
        <v/>
      </c>
    </row>
    <row r="173" customFormat="false" ht="15" hidden="false" customHeight="false" outlineLevel="0" collapsed="false">
      <c r="A173" s="16" t="s">
        <v>512</v>
      </c>
      <c r="B173" s="31" t="s">
        <v>513</v>
      </c>
      <c r="C173" s="16" t="s">
        <v>465</v>
      </c>
      <c r="D173" s="32"/>
      <c r="E173" s="32" t="s">
        <v>795</v>
      </c>
      <c r="F173" s="32"/>
      <c r="G173" s="32"/>
      <c r="H173" s="32" t="n">
        <f aca="false">IF(Scheda_2!$D$145="Sì",1,0)</f>
        <v>0</v>
      </c>
      <c r="I173" s="32" t="n">
        <f aca="false">IF(Scheda_2!$D$19="Condono L. 326/03",1,0)</f>
        <v>0</v>
      </c>
      <c r="J173" s="32" t="n">
        <f aca="false">IF($B$5="","",IF($B$5="ORD",D173,IF($B$5="CON",E173,IF($B$5="AGI",F173,G173))))</f>
        <v>0</v>
      </c>
      <c r="K173" s="32" t="n">
        <f aca="false">IF(OR(H173=0,I173=0,J173=""),0,IF(IF(J173="X",1,IF(J173="P",$B$6,IF(J173="C",$B$7,IF(J173="DR",$B$8,IF(J173="T",$B$9,0)))))=1,1,0))</f>
        <v>0</v>
      </c>
      <c r="L173" s="32" t="str">
        <f aca="false">IF(K173=0,"",IF(LEN(TRIM(Scheda_2!$D$161&amp;""))=0,"MANCANTE",IF(LEFT(LOWER(TRIM(Scheda_2!$D$161&amp;"")),7)="non not","NON NOTO","ok")))</f>
        <v/>
      </c>
    </row>
    <row r="174" customFormat="false" ht="15" hidden="false" customHeight="false" outlineLevel="0" collapsed="false">
      <c r="A174" s="16" t="s">
        <v>515</v>
      </c>
      <c r="B174" s="31" t="s">
        <v>516</v>
      </c>
      <c r="C174" s="16" t="s">
        <v>465</v>
      </c>
      <c r="D174" s="32"/>
      <c r="E174" s="32" t="s">
        <v>795</v>
      </c>
      <c r="F174" s="32"/>
      <c r="G174" s="32"/>
      <c r="H174" s="32" t="n">
        <f aca="false">IF(Scheda_2!$D$145="Sì",1,0)</f>
        <v>0</v>
      </c>
      <c r="I174" s="32" t="n">
        <f aca="false">IF(Scheda_2!$D$19="Condono L. 326/03",1,0)</f>
        <v>0</v>
      </c>
      <c r="J174" s="32" t="n">
        <f aca="false">IF($B$5="","",IF($B$5="ORD",D174,IF($B$5="CON",E174,IF($B$5="AGI",F174,G174))))</f>
        <v>0</v>
      </c>
      <c r="K174" s="32" t="n">
        <f aca="false">IF(OR(H174=0,I174=0,J174=""),0,IF(IF(J174="X",1,IF(J174="P",$B$6,IF(J174="C",$B$7,IF(J174="DR",$B$8,IF(J174="T",$B$9,0)))))=1,1,0))</f>
        <v>0</v>
      </c>
      <c r="L174" s="32" t="str">
        <f aca="false">IF(K174=0,"",IF(LEN(TRIM(Scheda_2!$D$162&amp;""))=0,"MANCANTE",IF(LEFT(LOWER(TRIM(Scheda_2!$D$162&amp;"")),7)="non not","NON NOTO","ok")))</f>
        <v/>
      </c>
    </row>
    <row r="175" customFormat="false" ht="15" hidden="false" customHeight="false" outlineLevel="0" collapsed="false">
      <c r="A175" s="16" t="s">
        <v>518</v>
      </c>
      <c r="B175" s="31" t="s">
        <v>519</v>
      </c>
      <c r="C175" s="16" t="s">
        <v>465</v>
      </c>
      <c r="D175" s="32"/>
      <c r="E175" s="32" t="s">
        <v>795</v>
      </c>
      <c r="F175" s="32"/>
      <c r="G175" s="32"/>
      <c r="H175" s="32" t="n">
        <f aca="false">IF(Scheda_2!$D$145="Sì",1,0)</f>
        <v>0</v>
      </c>
      <c r="I175" s="32" t="n">
        <f aca="false">IF(Scheda_2!$D$19="Condono L. 326/03",1,0)</f>
        <v>0</v>
      </c>
      <c r="J175" s="32" t="n">
        <f aca="false">IF($B$5="","",IF($B$5="ORD",D175,IF($B$5="CON",E175,IF($B$5="AGI",F175,G175))))</f>
        <v>0</v>
      </c>
      <c r="K175" s="32" t="n">
        <f aca="false">IF(OR(H175=0,I175=0,J175=""),0,IF(IF(J175="X",1,IF(J175="P",$B$6,IF(J175="C",$B$7,IF(J175="DR",$B$8,IF(J175="T",$B$9,0)))))=1,1,0))</f>
        <v>0</v>
      </c>
      <c r="L175" s="32" t="str">
        <f aca="false">IF(K175=0,"",IF(LEN(TRIM(Scheda_2!$D$163&amp;""))=0,"MANCANTE",IF(LEFT(LOWER(TRIM(Scheda_2!$D$163&amp;"")),7)="non not","NON NOTO","ok")))</f>
        <v/>
      </c>
    </row>
    <row r="176" customFormat="false" ht="15" hidden="false" customHeight="false" outlineLevel="0" collapsed="false">
      <c r="A176" s="16" t="s">
        <v>521</v>
      </c>
      <c r="B176" s="31" t="s">
        <v>522</v>
      </c>
      <c r="C176" s="16" t="s">
        <v>465</v>
      </c>
      <c r="D176" s="32"/>
      <c r="E176" s="32" t="s">
        <v>795</v>
      </c>
      <c r="F176" s="32"/>
      <c r="G176" s="32"/>
      <c r="H176" s="32" t="n">
        <f aca="false">IF(Scheda_2!$D$145="Sì",1,0)</f>
        <v>0</v>
      </c>
      <c r="I176" s="32" t="n">
        <f aca="false">IF(Scheda_2!$D$19="Condono L. 326/03",1,0)</f>
        <v>0</v>
      </c>
      <c r="J176" s="32" t="n">
        <f aca="false">IF($B$5="","",IF($B$5="ORD",D176,IF($B$5="CON",E176,IF($B$5="AGI",F176,G176))))</f>
        <v>0</v>
      </c>
      <c r="K176" s="32" t="n">
        <f aca="false">IF(OR(H176=0,I176=0,J176=""),0,IF(IF(J176="X",1,IF(J176="P",$B$6,IF(J176="C",$B$7,IF(J176="DR",$B$8,IF(J176="T",$B$9,0)))))=1,1,0))</f>
        <v>0</v>
      </c>
      <c r="L176" s="32" t="str">
        <f aca="false">IF(K176=0,"",IF(LEN(TRIM(Scheda_2!$D$164&amp;""))=0,"MANCANTE",IF(LEFT(LOWER(TRIM(Scheda_2!$D$164&amp;"")),7)="non not","NON NOTO","ok")))</f>
        <v/>
      </c>
    </row>
    <row r="177" customFormat="false" ht="15" hidden="false" customHeight="false" outlineLevel="0" collapsed="false">
      <c r="A177" s="16" t="s">
        <v>523</v>
      </c>
      <c r="B177" s="31" t="s">
        <v>524</v>
      </c>
      <c r="C177" s="16" t="s">
        <v>465</v>
      </c>
      <c r="D177" s="32"/>
      <c r="E177" s="32" t="s">
        <v>795</v>
      </c>
      <c r="F177" s="32"/>
      <c r="G177" s="32"/>
      <c r="H177" s="32" t="n">
        <f aca="false">IF(Scheda_2!$D$145="Sì",1,0)</f>
        <v>0</v>
      </c>
      <c r="I177" s="32" t="n">
        <f aca="false">IF(Scheda_2!$D$19="Condono L. 326/03",1,0)</f>
        <v>0</v>
      </c>
      <c r="J177" s="32" t="n">
        <f aca="false">IF($B$5="","",IF($B$5="ORD",D177,IF($B$5="CON",E177,IF($B$5="AGI",F177,G177))))</f>
        <v>0</v>
      </c>
      <c r="K177" s="32" t="n">
        <f aca="false">IF(OR(H177=0,I177=0,J177=""),0,IF(IF(J177="X",1,IF(J177="P",$B$6,IF(J177="C",$B$7,IF(J177="DR",$B$8,IF(J177="T",$B$9,0)))))=1,1,0))</f>
        <v>0</v>
      </c>
      <c r="L177" s="32" t="str">
        <f aca="false">IF(K177=0,"",IF(LEN(TRIM(Scheda_2!$D$165&amp;""))=0,"MANCANTE",IF(LEFT(LOWER(TRIM(Scheda_2!$D$165&amp;"")),7)="non not","NON NOTO","ok")))</f>
        <v/>
      </c>
    </row>
    <row r="178" customFormat="false" ht="15" hidden="false" customHeight="false" outlineLevel="0" collapsed="false">
      <c r="A178" s="16" t="s">
        <v>526</v>
      </c>
      <c r="B178" s="31" t="s">
        <v>527</v>
      </c>
      <c r="C178" s="16" t="s">
        <v>465</v>
      </c>
      <c r="D178" s="32"/>
      <c r="E178" s="32" t="s">
        <v>795</v>
      </c>
      <c r="F178" s="32"/>
      <c r="G178" s="32"/>
      <c r="H178" s="32" t="n">
        <f aca="false">IF(Scheda_2!$D$145="Sì",1,0)</f>
        <v>0</v>
      </c>
      <c r="I178" s="32" t="n">
        <f aca="false">IF(Scheda_2!$D$19="Condono L. 326/03",1,0)</f>
        <v>0</v>
      </c>
      <c r="J178" s="32" t="n">
        <f aca="false">IF($B$5="","",IF($B$5="ORD",D178,IF($B$5="CON",E178,IF($B$5="AGI",F178,G178))))</f>
        <v>0</v>
      </c>
      <c r="K178" s="32" t="n">
        <f aca="false">IF(OR(H178=0,I178=0,J178=""),0,IF(IF(J178="X",1,IF(J178="P",$B$6,IF(J178="C",$B$7,IF(J178="DR",$B$8,IF(J178="T",$B$9,0)))))=1,1,0))</f>
        <v>0</v>
      </c>
      <c r="L178" s="32" t="str">
        <f aca="false">IF(K178=0,"",IF(LEN(TRIM(Scheda_2!$D$166&amp;""))=0,"MANCANTE",IF(LEFT(LOWER(TRIM(Scheda_2!$D$166&amp;"")),7)="non not","NON NOTO","ok")))</f>
        <v/>
      </c>
    </row>
    <row r="179" customFormat="false" ht="15" hidden="false" customHeight="false" outlineLevel="0" collapsed="false">
      <c r="A179" s="16" t="s">
        <v>528</v>
      </c>
      <c r="B179" s="31" t="s">
        <v>529</v>
      </c>
      <c r="C179" s="16" t="s">
        <v>465</v>
      </c>
      <c r="D179" s="32"/>
      <c r="E179" s="32" t="s">
        <v>795</v>
      </c>
      <c r="F179" s="32"/>
      <c r="G179" s="32"/>
      <c r="H179" s="32" t="n">
        <f aca="false">IF(Scheda_2!$D$145="Sì",1,0)</f>
        <v>0</v>
      </c>
      <c r="I179" s="32" t="n">
        <f aca="false">IF(Scheda_2!$D$19="Condono L. 326/03",1,0)</f>
        <v>0</v>
      </c>
      <c r="J179" s="32" t="n">
        <f aca="false">IF($B$5="","",IF($B$5="ORD",D179,IF($B$5="CON",E179,IF($B$5="AGI",F179,G179))))</f>
        <v>0</v>
      </c>
      <c r="K179" s="32" t="n">
        <f aca="false">IF(OR(H179=0,I179=0,J179=""),0,IF(IF(J179="X",1,IF(J179="P",$B$6,IF(J179="C",$B$7,IF(J179="DR",$B$8,IF(J179="T",$B$9,0)))))=1,1,0))</f>
        <v>0</v>
      </c>
      <c r="L179" s="32" t="str">
        <f aca="false">IF(K179=0,"",IF(LEN(TRIM(Scheda_2!$D$167&amp;""))=0,"MANCANTE",IF(LEFT(LOWER(TRIM(Scheda_2!$D$167&amp;"")),7)="non not","NON NOTO","ok")))</f>
        <v/>
      </c>
    </row>
    <row r="180" customFormat="false" ht="15" hidden="false" customHeight="false" outlineLevel="0" collapsed="false">
      <c r="A180" s="16" t="s">
        <v>530</v>
      </c>
      <c r="B180" s="31" t="s">
        <v>531</v>
      </c>
      <c r="C180" s="16" t="s">
        <v>465</v>
      </c>
      <c r="D180" s="32"/>
      <c r="E180" s="32" t="s">
        <v>795</v>
      </c>
      <c r="F180" s="32"/>
      <c r="G180" s="32"/>
      <c r="H180" s="32" t="n">
        <f aca="false">IF(Scheda_2!$D$145="Sì",1,0)</f>
        <v>0</v>
      </c>
      <c r="I180" s="32" t="n">
        <f aca="false">IF(OR(Scheda_2!$D$19="Condono L. 47/85",Scheda_2!$D$19="Condono L. 724/94"),1,0)</f>
        <v>0</v>
      </c>
      <c r="J180" s="32" t="n">
        <f aca="false">IF($B$5="","",IF($B$5="ORD",D180,IF($B$5="CON",E180,IF($B$5="AGI",F180,G180))))</f>
        <v>0</v>
      </c>
      <c r="K180" s="32" t="n">
        <f aca="false">IF(OR(H180=0,I180=0,J180=""),0,IF(IF(J180="X",1,IF(J180="P",$B$6,IF(J180="C",$B$7,IF(J180="DR",$B$8,IF(J180="T",$B$9,0)))))=1,1,0))</f>
        <v>0</v>
      </c>
      <c r="L180" s="32" t="str">
        <f aca="false">IF(K180=0,"",IF(LEN(TRIM(Scheda_2!$D$168&amp;""))=0,"MANCANTE",IF(LEFT(LOWER(TRIM(Scheda_2!$D$168&amp;"")),7)="non not","NON NOTO","ok")))</f>
        <v/>
      </c>
    </row>
    <row r="181" customFormat="false" ht="15" hidden="false" customHeight="false" outlineLevel="0" collapsed="false">
      <c r="A181" s="16" t="s">
        <v>534</v>
      </c>
      <c r="B181" s="31" t="s">
        <v>535</v>
      </c>
      <c r="C181" s="16" t="s">
        <v>465</v>
      </c>
      <c r="D181" s="32"/>
      <c r="E181" s="32" t="s">
        <v>795</v>
      </c>
      <c r="F181" s="32"/>
      <c r="G181" s="32"/>
      <c r="H181" s="32" t="n">
        <f aca="false">IF(Scheda_2!$D$145="Sì",1,0)</f>
        <v>0</v>
      </c>
      <c r="I181" s="32" t="n">
        <f aca="false">IF(OR(Scheda_2!$D$19="Condono L. 47/85",Scheda_2!$D$19="Condono L. 724/94"),1,0)</f>
        <v>0</v>
      </c>
      <c r="J181" s="32" t="n">
        <f aca="false">IF($B$5="","",IF($B$5="ORD",D181,IF($B$5="CON",E181,IF($B$5="AGI",F181,G181))))</f>
        <v>0</v>
      </c>
      <c r="K181" s="32" t="n">
        <f aca="false">IF(OR(H181=0,I181=0,J181=""),0,IF(IF(J181="X",1,IF(J181="P",$B$6,IF(J181="C",$B$7,IF(J181="DR",$B$8,IF(J181="T",$B$9,0)))))=1,1,0))</f>
        <v>0</v>
      </c>
      <c r="L181" s="32" t="str">
        <f aca="false">IF(K181=0,"",IF(LEN(TRIM(Scheda_2!$D$169&amp;""))=0,"MANCANTE",IF(LEFT(LOWER(TRIM(Scheda_2!$D$169&amp;"")),7)="non not","NON NOTO","ok")))</f>
        <v/>
      </c>
    </row>
    <row r="182" customFormat="false" ht="15" hidden="false" customHeight="false" outlineLevel="0" collapsed="false">
      <c r="A182" s="16" t="s">
        <v>538</v>
      </c>
      <c r="B182" s="31" t="s">
        <v>540</v>
      </c>
      <c r="C182" s="16" t="s">
        <v>539</v>
      </c>
      <c r="D182" s="32" t="s">
        <v>795</v>
      </c>
      <c r="E182" s="32" t="s">
        <v>795</v>
      </c>
      <c r="F182" s="32" t="s">
        <v>795</v>
      </c>
      <c r="G182" s="32" t="s">
        <v>795</v>
      </c>
      <c r="H182" s="32" t="n">
        <v>1</v>
      </c>
      <c r="I182" s="32" t="n">
        <v>1</v>
      </c>
      <c r="J182" s="32" t="str">
        <f aca="false">IF($B$5="","",IF($B$5="ORD",D182,IF($B$5="CON",E182,IF($B$5="AGI",F182,G182))))</f>
        <v>X</v>
      </c>
      <c r="K182" s="32" t="n">
        <f aca="false">IF(H182=1,1,0)</f>
        <v>1</v>
      </c>
      <c r="L182" s="32" t="str">
        <f aca="false">IF(K182=0,"",IF(LEN(TRIM(Scheda_2!$D$171&amp;""))=0,"MANCANTE",IF(LEFT(LOWER(TRIM(Scheda_2!$D$171&amp;"")),7)="non not","NON NOTO","ok")))</f>
        <v>ok</v>
      </c>
    </row>
    <row r="183" customFormat="false" ht="15" hidden="false" customHeight="false" outlineLevel="0" collapsed="false">
      <c r="A183" s="16" t="s">
        <v>541</v>
      </c>
      <c r="B183" s="31" t="s">
        <v>542</v>
      </c>
      <c r="C183" s="16" t="s">
        <v>539</v>
      </c>
      <c r="D183" s="32" t="s">
        <v>795</v>
      </c>
      <c r="E183" s="32" t="s">
        <v>795</v>
      </c>
      <c r="F183" s="32" t="s">
        <v>795</v>
      </c>
      <c r="G183" s="32" t="s">
        <v>795</v>
      </c>
      <c r="H183" s="32" t="n">
        <f aca="false">IF(Scheda_2!$D$171="Sì",1,0)</f>
        <v>0</v>
      </c>
      <c r="I183" s="32" t="n">
        <v>1</v>
      </c>
      <c r="J183" s="32" t="str">
        <f aca="false">IF($B$5="","",IF($B$5="ORD",D183,IF($B$5="CON",E183,IF($B$5="AGI",F183,G183))))</f>
        <v>X</v>
      </c>
      <c r="K183" s="32" t="n">
        <f aca="false">IF(OR(H183=0,I183=0,J183=""),0,IF(IF(J183="X",1,IF(J183="P",$B$6,IF(J183="C",$B$7,IF(J183="DR",$B$8,IF(J183="T",$B$9,0)))))=1,1,0))</f>
        <v>0</v>
      </c>
      <c r="L183" s="32" t="str">
        <f aca="false">IF(K183=0,"",IF(LEN(TRIM(Scheda_2!$D$172&amp;""))=0,"MANCANTE",IF(LEFT(LOWER(TRIM(Scheda_2!$D$172&amp;"")),7)="non not","NON NOTO","ok")))</f>
        <v/>
      </c>
    </row>
    <row r="184" customFormat="false" ht="15" hidden="false" customHeight="false" outlineLevel="0" collapsed="false">
      <c r="A184" s="16" t="s">
        <v>544</v>
      </c>
      <c r="B184" s="31" t="s">
        <v>545</v>
      </c>
      <c r="C184" s="16" t="s">
        <v>539</v>
      </c>
      <c r="D184" s="32" t="s">
        <v>795</v>
      </c>
      <c r="E184" s="32" t="s">
        <v>795</v>
      </c>
      <c r="F184" s="32"/>
      <c r="G184" s="32" t="s">
        <v>795</v>
      </c>
      <c r="H184" s="32" t="n">
        <f aca="false">IF(Scheda_2!$D$171="Sì",1,0)</f>
        <v>0</v>
      </c>
      <c r="I184" s="32" t="n">
        <v>1</v>
      </c>
      <c r="J184" s="32" t="str">
        <f aca="false">IF($B$5="","",IF($B$5="ORD",D184,IF($B$5="CON",E184,IF($B$5="AGI",F184,G184))))</f>
        <v>X</v>
      </c>
      <c r="K184" s="32" t="n">
        <f aca="false">IF(OR(H184=0,I184=0,J184=""),0,IF(IF(J184="X",1,IF(J184="P",$B$6,IF(J184="C",$B$7,IF(J184="DR",$B$8,IF(J184="T",$B$9,0)))))=1,1,0))</f>
        <v>0</v>
      </c>
      <c r="L184" s="32" t="str">
        <f aca="false">IF(K184=0,"",IF(LEN(TRIM(Scheda_2!$D$173&amp;""))=0,"MANCANTE",IF(LEFT(LOWER(TRIM(Scheda_2!$D$173&amp;"")),7)="non not","NON NOTO","ok")))</f>
        <v/>
      </c>
    </row>
    <row r="185" customFormat="false" ht="15" hidden="false" customHeight="false" outlineLevel="0" collapsed="false">
      <c r="A185" s="16" t="s">
        <v>547</v>
      </c>
      <c r="B185" s="31" t="s">
        <v>548</v>
      </c>
      <c r="C185" s="16" t="s">
        <v>539</v>
      </c>
      <c r="D185" s="32" t="s">
        <v>795</v>
      </c>
      <c r="E185" s="32" t="s">
        <v>795</v>
      </c>
      <c r="F185" s="32"/>
      <c r="G185" s="32" t="s">
        <v>795</v>
      </c>
      <c r="H185" s="32" t="n">
        <f aca="false">IF(Scheda_2!$D$171="Sì",1,0)</f>
        <v>0</v>
      </c>
      <c r="I185" s="32" t="n">
        <v>1</v>
      </c>
      <c r="J185" s="32" t="str">
        <f aca="false">IF($B$5="","",IF($B$5="ORD",D185,IF($B$5="CON",E185,IF($B$5="AGI",F185,G185))))</f>
        <v>X</v>
      </c>
      <c r="K185" s="32" t="n">
        <f aca="false">IF(OR(H185=0,I185=0,J185=""),0,IF(IF(J185="X",1,IF(J185="P",$B$6,IF(J185="C",$B$7,IF(J185="DR",$B$8,IF(J185="T",$B$9,0)))))=1,1,0))</f>
        <v>0</v>
      </c>
      <c r="L185" s="32" t="str">
        <f aca="false">IF(K185=0,"",IF(LEN(TRIM(Scheda_2!$D$174&amp;""))=0,"MANCANTE",IF(LEFT(LOWER(TRIM(Scheda_2!$D$174&amp;"")),7)="non not","NON NOTO","ok")))</f>
        <v/>
      </c>
    </row>
    <row r="186" customFormat="false" ht="15" hidden="false" customHeight="false" outlineLevel="0" collapsed="false">
      <c r="A186" s="16" t="s">
        <v>550</v>
      </c>
      <c r="B186" s="31" t="s">
        <v>551</v>
      </c>
      <c r="C186" s="16" t="s">
        <v>539</v>
      </c>
      <c r="D186" s="32" t="s">
        <v>795</v>
      </c>
      <c r="E186" s="32" t="s">
        <v>795</v>
      </c>
      <c r="F186" s="32"/>
      <c r="G186" s="32" t="s">
        <v>795</v>
      </c>
      <c r="H186" s="32" t="n">
        <f aca="false">IF(Scheda_2!$D$171="Sì",1,0)</f>
        <v>0</v>
      </c>
      <c r="I186" s="32" t="n">
        <f aca="false">IF(Scheda_2!$D$172="Piscina interrata",1,0)</f>
        <v>0</v>
      </c>
      <c r="J186" s="32" t="str">
        <f aca="false">IF($B$5="","",IF($B$5="ORD",D186,IF($B$5="CON",E186,IF($B$5="AGI",F186,G186))))</f>
        <v>X</v>
      </c>
      <c r="K186" s="32" t="n">
        <f aca="false">IF(OR(H186=0,I186=0,J186=""),0,IF(IF(J186="X",1,IF(J186="P",$B$6,IF(J186="C",$B$7,IF(J186="DR",$B$8,IF(J186="T",$B$9,0)))))=1,1,0))</f>
        <v>0</v>
      </c>
      <c r="L186" s="32" t="str">
        <f aca="false">IF(K186=0,"",IF(LEN(TRIM(Scheda_2!$D$175&amp;""))=0,"MANCANTE",IF(LEFT(LOWER(TRIM(Scheda_2!$D$175&amp;"")),7)="non not","NON NOTO","ok")))</f>
        <v/>
      </c>
    </row>
    <row r="187" customFormat="false" ht="15" hidden="false" customHeight="false" outlineLevel="0" collapsed="false">
      <c r="A187" s="16" t="s">
        <v>554</v>
      </c>
      <c r="B187" s="31" t="s">
        <v>555</v>
      </c>
      <c r="C187" s="16" t="s">
        <v>539</v>
      </c>
      <c r="D187" s="32" t="s">
        <v>795</v>
      </c>
      <c r="E187" s="32" t="s">
        <v>795</v>
      </c>
      <c r="F187" s="32"/>
      <c r="G187" s="32" t="s">
        <v>795</v>
      </c>
      <c r="H187" s="32" t="n">
        <f aca="false">IF(Scheda_2!$D$171="Sì",1,0)</f>
        <v>0</v>
      </c>
      <c r="I187" s="32" t="n">
        <f aca="false">IF(Scheda_2!$D$172="Piscina interrata",1,0)</f>
        <v>0</v>
      </c>
      <c r="J187" s="32" t="str">
        <f aca="false">IF($B$5="","",IF($B$5="ORD",D187,IF($B$5="CON",E187,IF($B$5="AGI",F187,G187))))</f>
        <v>X</v>
      </c>
      <c r="K187" s="32" t="n">
        <f aca="false">IF(OR(H187=0,I187=0,J187=""),0,IF(IF(J187="X",1,IF(J187="P",$B$6,IF(J187="C",$B$7,IF(J187="DR",$B$8,IF(J187="T",$B$9,0)))))=1,1,0))</f>
        <v>0</v>
      </c>
      <c r="L187" s="32" t="str">
        <f aca="false">IF(K187=0,"",IF(LEN(TRIM(Scheda_2!$D$176&amp;""))=0,"MANCANTE",IF(LEFT(LOWER(TRIM(Scheda_2!$D$176&amp;"")),7)="non not","NON NOTO","ok")))</f>
        <v/>
      </c>
    </row>
    <row r="188" customFormat="false" ht="15" hidden="false" customHeight="false" outlineLevel="0" collapsed="false">
      <c r="A188" s="16" t="s">
        <v>557</v>
      </c>
      <c r="B188" s="31" t="s">
        <v>558</v>
      </c>
      <c r="C188" s="16" t="s">
        <v>539</v>
      </c>
      <c r="D188" s="32" t="s">
        <v>795</v>
      </c>
      <c r="E188" s="32" t="s">
        <v>795</v>
      </c>
      <c r="F188" s="32"/>
      <c r="G188" s="32" t="s">
        <v>795</v>
      </c>
      <c r="H188" s="32" t="n">
        <f aca="false">IF(Scheda_2!$D$171="Sì",1,0)</f>
        <v>0</v>
      </c>
      <c r="I188" s="32" t="n">
        <f aca="false">IF(Scheda_2!$D$172="Muro di cinta / recinzione",1,0)</f>
        <v>0</v>
      </c>
      <c r="J188" s="32" t="str">
        <f aca="false">IF($B$5="","",IF($B$5="ORD",D188,IF($B$5="CON",E188,IF($B$5="AGI",F188,G188))))</f>
        <v>X</v>
      </c>
      <c r="K188" s="32" t="n">
        <f aca="false">IF(OR(H188=0,I188=0,J188=""),0,IF(IF(J188="X",1,IF(J188="P",$B$6,IF(J188="C",$B$7,IF(J188="DR",$B$8,IF(J188="T",$B$9,0)))))=1,1,0))</f>
        <v>0</v>
      </c>
      <c r="L188" s="32" t="str">
        <f aca="false">IF(K188=0,"",IF(LEN(TRIM(Scheda_2!$D$177&amp;""))=0,"MANCANTE",IF(LEFT(LOWER(TRIM(Scheda_2!$D$177&amp;"")),7)="non not","NON NOTO","ok")))</f>
        <v/>
      </c>
    </row>
    <row r="189" customFormat="false" ht="15" hidden="false" customHeight="false" outlineLevel="0" collapsed="false">
      <c r="A189" s="16" t="s">
        <v>560</v>
      </c>
      <c r="B189" s="31" t="s">
        <v>561</v>
      </c>
      <c r="C189" s="16" t="s">
        <v>539</v>
      </c>
      <c r="D189" s="32" t="s">
        <v>795</v>
      </c>
      <c r="E189" s="32" t="s">
        <v>795</v>
      </c>
      <c r="F189" s="32"/>
      <c r="G189" s="32" t="s">
        <v>795</v>
      </c>
      <c r="H189" s="32" t="n">
        <f aca="false">IF(Scheda_2!$D$171="Sì",1,0)</f>
        <v>0</v>
      </c>
      <c r="I189" s="32" t="n">
        <f aca="false">IF(Scheda_2!$D$172="Muro di cinta / recinzione",1,0)</f>
        <v>0</v>
      </c>
      <c r="J189" s="32" t="str">
        <f aca="false">IF($B$5="","",IF($B$5="ORD",D189,IF($B$5="CON",E189,IF($B$5="AGI",F189,G189))))</f>
        <v>X</v>
      </c>
      <c r="K189" s="32" t="n">
        <f aca="false">IF(OR(H189=0,I189=0,J189=""),0,IF(IF(J189="X",1,IF(J189="P",$B$6,IF(J189="C",$B$7,IF(J189="DR",$B$8,IF(J189="T",$B$9,0)))))=1,1,0))</f>
        <v>0</v>
      </c>
      <c r="L189" s="32" t="str">
        <f aca="false">IF(K189=0,"",IF(LEN(TRIM(Scheda_2!$D$178&amp;""))=0,"MANCANTE",IF(LEFT(LOWER(TRIM(Scheda_2!$D$178&amp;"")),7)="non not","NON NOTO","ok")))</f>
        <v/>
      </c>
    </row>
    <row r="190" customFormat="false" ht="15" hidden="false" customHeight="false" outlineLevel="0" collapsed="false">
      <c r="A190" s="16" t="s">
        <v>562</v>
      </c>
      <c r="B190" s="31" t="s">
        <v>563</v>
      </c>
      <c r="C190" s="16" t="s">
        <v>539</v>
      </c>
      <c r="D190" s="32" t="s">
        <v>795</v>
      </c>
      <c r="E190" s="32" t="s">
        <v>795</v>
      </c>
      <c r="F190" s="32"/>
      <c r="G190" s="32" t="s">
        <v>795</v>
      </c>
      <c r="H190" s="32" t="n">
        <f aca="false">IF(Scheda_2!$D$171="Sì",1,0)</f>
        <v>0</v>
      </c>
      <c r="I190" s="32" t="n">
        <f aca="false">IF(Scheda_2!$D$172="Recupero abitativo del sottotetto",1,0)</f>
        <v>0</v>
      </c>
      <c r="J190" s="32" t="str">
        <f aca="false">IF($B$5="","",IF($B$5="ORD",D190,IF($B$5="CON",E190,IF($B$5="AGI",F190,G190))))</f>
        <v>X</v>
      </c>
      <c r="K190" s="32" t="n">
        <f aca="false">IF(OR(H190=0,I190=0,J190=""),0,IF(IF(J190="X",1,IF(J190="P",$B$6,IF(J190="C",$B$7,IF(J190="DR",$B$8,IF(J190="T",$B$9,0)))))=1,1,0))</f>
        <v>0</v>
      </c>
      <c r="L190" s="32" t="str">
        <f aca="false">IF(K190=0,"",IF(LEN(TRIM(Scheda_2!$D$179&amp;""))=0,"MANCANTE",IF(LEFT(LOWER(TRIM(Scheda_2!$D$179&amp;"")),7)="non not","NON NOTO","ok")))</f>
        <v/>
      </c>
    </row>
    <row r="191" customFormat="false" ht="15" hidden="false" customHeight="false" outlineLevel="0" collapsed="false">
      <c r="A191" s="16" t="s">
        <v>566</v>
      </c>
      <c r="B191" s="31" t="s">
        <v>567</v>
      </c>
      <c r="C191" s="16" t="s">
        <v>539</v>
      </c>
      <c r="D191" s="32" t="s">
        <v>795</v>
      </c>
      <c r="E191" s="32" t="s">
        <v>795</v>
      </c>
      <c r="F191" s="32"/>
      <c r="G191" s="32" t="s">
        <v>795</v>
      </c>
      <c r="H191" s="32" t="n">
        <f aca="false">IF(Scheda_2!$D$171="Sì",1,0)</f>
        <v>0</v>
      </c>
      <c r="I191" s="32" t="n">
        <f aca="false">IF(Scheda_2!$D$172="Recupero abitativo del sottotetto",1,0)</f>
        <v>0</v>
      </c>
      <c r="J191" s="32" t="str">
        <f aca="false">IF($B$5="","",IF($B$5="ORD",D191,IF($B$5="CON",E191,IF($B$5="AGI",F191,G191))))</f>
        <v>X</v>
      </c>
      <c r="K191" s="32" t="n">
        <f aca="false">IF(OR(H191=0,I191=0,J191=""),0,IF(IF(J191="X",1,IF(J191="P",$B$6,IF(J191="C",$B$7,IF(J191="DR",$B$8,IF(J191="T",$B$9,0)))))=1,1,0))</f>
        <v>0</v>
      </c>
      <c r="L191" s="32" t="str">
        <f aca="false">IF(K191=0,"",IF(LEN(TRIM(Scheda_2!$D$180&amp;""))=0,"MANCANTE",IF(LEFT(LOWER(TRIM(Scheda_2!$D$180&amp;"")),7)="non not","NON NOTO","ok")))</f>
        <v/>
      </c>
    </row>
    <row r="192" customFormat="false" ht="15" hidden="false" customHeight="false" outlineLevel="0" collapsed="false">
      <c r="A192" s="16" t="s">
        <v>569</v>
      </c>
      <c r="B192" s="31" t="s">
        <v>570</v>
      </c>
      <c r="C192" s="16" t="s">
        <v>539</v>
      </c>
      <c r="D192" s="32" t="s">
        <v>795</v>
      </c>
      <c r="E192" s="32" t="s">
        <v>795</v>
      </c>
      <c r="F192" s="32"/>
      <c r="G192" s="32" t="s">
        <v>795</v>
      </c>
      <c r="H192" s="32" t="n">
        <f aca="false">IF(Scheda_2!$D$171="Sì",1,0)</f>
        <v>0</v>
      </c>
      <c r="I192" s="32" t="n">
        <f aca="false">IF(Scheda_2!$D$172="Recupero abitativo del sottotetto",1,0)</f>
        <v>0</v>
      </c>
      <c r="J192" s="32" t="str">
        <f aca="false">IF($B$5="","",IF($B$5="ORD",D192,IF($B$5="CON",E192,IF($B$5="AGI",F192,G192))))</f>
        <v>X</v>
      </c>
      <c r="K192" s="32" t="n">
        <f aca="false">IF(OR(H192=0,I192=0,J192=""),0,IF(IF(J192="X",1,IF(J192="P",$B$6,IF(J192="C",$B$7,IF(J192="DR",$B$8,IF(J192="T",$B$9,0)))))=1,1,0))</f>
        <v>0</v>
      </c>
      <c r="L192" s="32" t="str">
        <f aca="false">IF(K192=0,"",IF(LEN(TRIM(Scheda_2!$D$181&amp;""))=0,"MANCANTE",IF(LEFT(LOWER(TRIM(Scheda_2!$D$181&amp;"")),7)="non not","NON NOTO","ok")))</f>
        <v/>
      </c>
    </row>
    <row r="193" customFormat="false" ht="15" hidden="false" customHeight="false" outlineLevel="0" collapsed="false">
      <c r="A193" s="16" t="s">
        <v>572</v>
      </c>
      <c r="B193" s="31" t="s">
        <v>573</v>
      </c>
      <c r="C193" s="16" t="s">
        <v>539</v>
      </c>
      <c r="D193" s="32" t="s">
        <v>795</v>
      </c>
      <c r="E193" s="32" t="s">
        <v>795</v>
      </c>
      <c r="F193" s="32"/>
      <c r="G193" s="32" t="s">
        <v>795</v>
      </c>
      <c r="H193" s="32" t="n">
        <f aca="false">IF(Scheda_2!$D$171="Sì",1,0)</f>
        <v>0</v>
      </c>
      <c r="I193" s="32" t="n">
        <f aca="false">IF(Scheda_2!$D$172="Recupero abitativo del sottotetto",1,0)</f>
        <v>0</v>
      </c>
      <c r="J193" s="32" t="str">
        <f aca="false">IF($B$5="","",IF($B$5="ORD",D193,IF($B$5="CON",E193,IF($B$5="AGI",F193,G193))))</f>
        <v>X</v>
      </c>
      <c r="K193" s="32" t="n">
        <f aca="false">IF(OR(H193=0,I193=0,J193=""),0,IF(IF(J193="X",1,IF(J193="P",$B$6,IF(J193="C",$B$7,IF(J193="DR",$B$8,IF(J193="T",$B$9,0)))))=1,1,0))</f>
        <v>0</v>
      </c>
      <c r="L193" s="32" t="str">
        <f aca="false">IF(K193=0,"",IF(LEN(TRIM(Scheda_2!$D$182&amp;""))=0,"MANCANTE",IF(LEFT(LOWER(TRIM(Scheda_2!$D$182&amp;"")),7)="non not","NON NOTO","ok")))</f>
        <v/>
      </c>
    </row>
    <row r="194" customFormat="false" ht="15" hidden="false" customHeight="false" outlineLevel="0" collapsed="false">
      <c r="A194" s="16" t="s">
        <v>575</v>
      </c>
      <c r="B194" s="31" t="s">
        <v>576</v>
      </c>
      <c r="C194" s="16" t="s">
        <v>539</v>
      </c>
      <c r="D194" s="32" t="s">
        <v>795</v>
      </c>
      <c r="E194" s="32" t="s">
        <v>795</v>
      </c>
      <c r="F194" s="32"/>
      <c r="G194" s="32" t="s">
        <v>795</v>
      </c>
      <c r="H194" s="32" t="n">
        <f aca="false">IF(Scheda_2!$D$171="Sì",1,0)</f>
        <v>0</v>
      </c>
      <c r="I194" s="32" t="n">
        <f aca="false">IF(Scheda_2!$D$172="Recupero abitativo del sottotetto",1,0)</f>
        <v>0</v>
      </c>
      <c r="J194" s="32" t="str">
        <f aca="false">IF($B$5="","",IF($B$5="ORD",D194,IF($B$5="CON",E194,IF($B$5="AGI",F194,G194))))</f>
        <v>X</v>
      </c>
      <c r="K194" s="32" t="n">
        <f aca="false">IF(OR(H194=0,I194=0,J194=""),0,IF(IF(J194="X",1,IF(J194="P",$B$6,IF(J194="C",$B$7,IF(J194="DR",$B$8,IF(J194="T",$B$9,0)))))=1,1,0))</f>
        <v>0</v>
      </c>
      <c r="L194" s="32" t="str">
        <f aca="false">IF(K194=0,"",IF(LEN(TRIM(Scheda_2!$D$183&amp;""))=0,"MANCANTE",IF(LEFT(LOWER(TRIM(Scheda_2!$D$183&amp;"")),7)="non not","NON NOTO","ok")))</f>
        <v/>
      </c>
    </row>
    <row r="195" customFormat="false" ht="15" hidden="false" customHeight="false" outlineLevel="0" collapsed="false">
      <c r="A195" s="16" t="s">
        <v>577</v>
      </c>
      <c r="B195" s="31" t="s">
        <v>578</v>
      </c>
      <c r="C195" s="16" t="s">
        <v>539</v>
      </c>
      <c r="D195" s="32" t="s">
        <v>795</v>
      </c>
      <c r="E195" s="32" t="s">
        <v>795</v>
      </c>
      <c r="F195" s="32"/>
      <c r="G195" s="32" t="s">
        <v>795</v>
      </c>
      <c r="H195" s="32" t="n">
        <f aca="false">IF(Scheda_2!$D$171="Sì",1,0)</f>
        <v>0</v>
      </c>
      <c r="I195" s="32" t="n">
        <f aca="false">IF(Scheda_2!$D$172="Recupero abitativo del sottotetto",1,0)</f>
        <v>0</v>
      </c>
      <c r="J195" s="32" t="str">
        <f aca="false">IF($B$5="","",IF($B$5="ORD",D195,IF($B$5="CON",E195,IF($B$5="AGI",F195,G195))))</f>
        <v>X</v>
      </c>
      <c r="K195" s="32" t="n">
        <f aca="false">IF(OR(H195=0,I195=0,J195=""),0,IF(IF(J195="X",1,IF(J195="P",$B$6,IF(J195="C",$B$7,IF(J195="DR",$B$8,IF(J195="T",$B$9,0)))))=1,1,0))</f>
        <v>0</v>
      </c>
      <c r="L195" s="32" t="str">
        <f aca="false">IF(K195=0,"",IF(LEN(TRIM(Scheda_2!$D$184&amp;""))=0,"MANCANTE",IF(LEFT(LOWER(TRIM(Scheda_2!$D$184&amp;"")),7)="non not","NON NOTO","ok")))</f>
        <v/>
      </c>
    </row>
    <row r="196" customFormat="false" ht="15" hidden="false" customHeight="false" outlineLevel="0" collapsed="false">
      <c r="A196" s="16" t="s">
        <v>580</v>
      </c>
      <c r="B196" s="31" t="s">
        <v>581</v>
      </c>
      <c r="C196" s="16" t="s">
        <v>539</v>
      </c>
      <c r="D196" s="32" t="s">
        <v>795</v>
      </c>
      <c r="E196" s="32" t="s">
        <v>795</v>
      </c>
      <c r="F196" s="32"/>
      <c r="G196" s="32" t="s">
        <v>795</v>
      </c>
      <c r="H196" s="32" t="n">
        <f aca="false">IF(Scheda_2!$D$171="Sì",1,0)</f>
        <v>0</v>
      </c>
      <c r="I196" s="32" t="n">
        <f aca="false">IF(Scheda_2!$D$172="Recupero abitativo del sottotetto",1,0)</f>
        <v>0</v>
      </c>
      <c r="J196" s="32" t="str">
        <f aca="false">IF($B$5="","",IF($B$5="ORD",D196,IF($B$5="CON",E196,IF($B$5="AGI",F196,G196))))</f>
        <v>X</v>
      </c>
      <c r="K196" s="32" t="n">
        <f aca="false">IF(OR(H196=0,I196=0,J196=""),0,IF(IF(J196="X",1,IF(J196="P",$B$6,IF(J196="C",$B$7,IF(J196="DR",$B$8,IF(J196="T",$B$9,0)))))=1,1,0))</f>
        <v>0</v>
      </c>
      <c r="L196" s="32" t="str">
        <f aca="false">IF(K196=0,"",IF(LEN(TRIM(Scheda_2!$D$185&amp;""))=0,"MANCANTE",IF(LEFT(LOWER(TRIM(Scheda_2!$D$185&amp;"")),7)="non not","NON NOTO","ok")))</f>
        <v/>
      </c>
    </row>
    <row r="197" customFormat="false" ht="15" hidden="false" customHeight="false" outlineLevel="0" collapsed="false">
      <c r="A197" s="16" t="s">
        <v>583</v>
      </c>
      <c r="B197" s="31" t="s">
        <v>584</v>
      </c>
      <c r="C197" s="16" t="s">
        <v>539</v>
      </c>
      <c r="D197" s="32" t="s">
        <v>795</v>
      </c>
      <c r="E197" s="32" t="s">
        <v>795</v>
      </c>
      <c r="F197" s="32"/>
      <c r="G197" s="32" t="s">
        <v>795</v>
      </c>
      <c r="H197" s="32" t="n">
        <f aca="false">IF(Scheda_2!$D$171="Sì",1,0)</f>
        <v>0</v>
      </c>
      <c r="I197" s="32" t="n">
        <f aca="false">IF(Scheda_2!$D$172="Recupero abitativo del sottotetto",1,0)</f>
        <v>0</v>
      </c>
      <c r="J197" s="32" t="str">
        <f aca="false">IF($B$5="","",IF($B$5="ORD",D197,IF($B$5="CON",E197,IF($B$5="AGI",F197,G197))))</f>
        <v>X</v>
      </c>
      <c r="K197" s="32" t="n">
        <f aca="false">IF(OR(H197=0,I197=0,J197=""),0,IF(IF(J197="X",1,IF(J197="P",$B$6,IF(J197="C",$B$7,IF(J197="DR",$B$8,IF(J197="T",$B$9,0)))))=1,1,0))</f>
        <v>0</v>
      </c>
      <c r="L197" s="32" t="str">
        <f aca="false">IF(K197=0,"",IF(LEN(TRIM(Scheda_2!$D$186&amp;""))=0,"MANCANTE",IF(LEFT(LOWER(TRIM(Scheda_2!$D$186&amp;"")),7)="non not","NON NOTO","ok")))</f>
        <v/>
      </c>
    </row>
    <row r="198" customFormat="false" ht="15" hidden="false" customHeight="false" outlineLevel="0" collapsed="false">
      <c r="A198" s="16" t="s">
        <v>585</v>
      </c>
      <c r="B198" s="31" t="s">
        <v>586</v>
      </c>
      <c r="C198" s="16" t="s">
        <v>539</v>
      </c>
      <c r="D198" s="32" t="s">
        <v>795</v>
      </c>
      <c r="E198" s="32" t="s">
        <v>795</v>
      </c>
      <c r="F198" s="32"/>
      <c r="G198" s="32" t="s">
        <v>795</v>
      </c>
      <c r="H198" s="32" t="n">
        <f aca="false">IF(Scheda_2!$D$171="Sì",1,0)</f>
        <v>0</v>
      </c>
      <c r="I198" s="32" t="n">
        <f aca="false">IF(Scheda_2!$D$172="Recupero abitativo del sottotetto",1,0)</f>
        <v>0</v>
      </c>
      <c r="J198" s="32" t="str">
        <f aca="false">IF($B$5="","",IF($B$5="ORD",D198,IF($B$5="CON",E198,IF($B$5="AGI",F198,G198))))</f>
        <v>X</v>
      </c>
      <c r="K198" s="32" t="n">
        <f aca="false">IF(OR(H198=0,I198=0,J198=""),0,IF(IF(J198="X",1,IF(J198="P",$B$6,IF(J198="C",$B$7,IF(J198="DR",$B$8,IF(J198="T",$B$9,0)))))=1,1,0))</f>
        <v>0</v>
      </c>
      <c r="L198" s="32" t="str">
        <f aca="false">IF(K198=0,"",IF(LEN(TRIM(Scheda_2!$D$187&amp;""))=0,"MANCANTE",IF(LEFT(LOWER(TRIM(Scheda_2!$D$187&amp;"")),7)="non not","NON NOTO","ok")))</f>
        <v/>
      </c>
    </row>
    <row r="199" customFormat="false" ht="15" hidden="false" customHeight="false" outlineLevel="0" collapsed="false">
      <c r="A199" s="16" t="s">
        <v>587</v>
      </c>
      <c r="B199" s="31" t="s">
        <v>588</v>
      </c>
      <c r="C199" s="16" t="s">
        <v>539</v>
      </c>
      <c r="D199" s="32" t="s">
        <v>795</v>
      </c>
      <c r="E199" s="32" t="s">
        <v>795</v>
      </c>
      <c r="F199" s="32"/>
      <c r="G199" s="32" t="s">
        <v>795</v>
      </c>
      <c r="H199" s="32" t="n">
        <f aca="false">IF(Scheda_2!$D$171="Sì",1,0)</f>
        <v>0</v>
      </c>
      <c r="I199" s="32" t="n">
        <f aca="false">IF(Scheda_2!$D$172="Recupero abitativo del sottotetto",1,0)</f>
        <v>0</v>
      </c>
      <c r="J199" s="32" t="str">
        <f aca="false">IF($B$5="","",IF($B$5="ORD",D199,IF($B$5="CON",E199,IF($B$5="AGI",F199,G199))))</f>
        <v>X</v>
      </c>
      <c r="K199" s="32" t="n">
        <f aca="false">IF(OR(H199=0,I199=0,J199=""),0,IF(IF(J199="X",1,IF(J199="P",$B$6,IF(J199="C",$B$7,IF(J199="DR",$B$8,IF(J199="T",$B$9,0)))))=1,1,0))</f>
        <v>0</v>
      </c>
      <c r="L199" s="32" t="str">
        <f aca="false">IF(K199=0,"",IF(LEN(TRIM(Scheda_2!$D$188&amp;""))=0,"MANCANTE",IF(LEFT(LOWER(TRIM(Scheda_2!$D$188&amp;"")),7)="non not","NON NOTO","ok")))</f>
        <v/>
      </c>
    </row>
    <row r="200" customFormat="false" ht="15" hidden="false" customHeight="false" outlineLevel="0" collapsed="false">
      <c r="A200" s="16" t="s">
        <v>589</v>
      </c>
      <c r="B200" s="31" t="s">
        <v>590</v>
      </c>
      <c r="C200" s="16" t="s">
        <v>539</v>
      </c>
      <c r="D200" s="32" t="s">
        <v>795</v>
      </c>
      <c r="E200" s="32" t="s">
        <v>795</v>
      </c>
      <c r="F200" s="32"/>
      <c r="G200" s="32" t="s">
        <v>795</v>
      </c>
      <c r="H200" s="32" t="n">
        <f aca="false">IF(Scheda_2!$D$171="Sì",1,0)</f>
        <v>0</v>
      </c>
      <c r="I200" s="32" t="n">
        <f aca="false">IF(Scheda_2!$D$172="Delocalizzazione dalla zona rossa",1,0)</f>
        <v>0</v>
      </c>
      <c r="J200" s="32" t="str">
        <f aca="false">IF($B$5="","",IF($B$5="ORD",D200,IF($B$5="CON",E200,IF($B$5="AGI",F200,G200))))</f>
        <v>X</v>
      </c>
      <c r="K200" s="32" t="n">
        <f aca="false">IF(OR(H200=0,I200=0,J200=""),0,IF(IF(J200="X",1,IF(J200="P",$B$6,IF(J200="C",$B$7,IF(J200="DR",$B$8,IF(J200="T",$B$9,0)))))=1,1,0))</f>
        <v>0</v>
      </c>
      <c r="L200" s="32" t="str">
        <f aca="false">IF(K200=0,"",IF(LEN(TRIM(Scheda_2!$D$189&amp;""))=0,"MANCANTE",IF(LEFT(LOWER(TRIM(Scheda_2!$D$189&amp;"")),7)="non not","NON NOTO","ok")))</f>
        <v/>
      </c>
    </row>
    <row r="201" customFormat="false" ht="15" hidden="false" customHeight="false" outlineLevel="0" collapsed="false">
      <c r="A201" s="16" t="s">
        <v>593</v>
      </c>
      <c r="B201" s="31" t="s">
        <v>594</v>
      </c>
      <c r="C201" s="16" t="s">
        <v>539</v>
      </c>
      <c r="D201" s="32" t="s">
        <v>795</v>
      </c>
      <c r="E201" s="32" t="s">
        <v>795</v>
      </c>
      <c r="F201" s="32"/>
      <c r="G201" s="32" t="s">
        <v>795</v>
      </c>
      <c r="H201" s="32" t="n">
        <f aca="false">IF(Scheda_2!$D$171="Sì",1,0)</f>
        <v>0</v>
      </c>
      <c r="I201" s="32" t="n">
        <f aca="false">IF(Scheda_2!$D$172="Delocalizzazione dalla zona rossa",1,0)</f>
        <v>0</v>
      </c>
      <c r="J201" s="32" t="str">
        <f aca="false">IF($B$5="","",IF($B$5="ORD",D201,IF($B$5="CON",E201,IF($B$5="AGI",F201,G201))))</f>
        <v>X</v>
      </c>
      <c r="K201" s="32" t="n">
        <f aca="false">IF(OR(H201=0,I201=0,J201=""),0,IF(IF(J201="X",1,IF(J201="P",$B$6,IF(J201="C",$B$7,IF(J201="DR",$B$8,IF(J201="T",$B$9,0)))))=1,1,0))</f>
        <v>0</v>
      </c>
      <c r="L201" s="32" t="str">
        <f aca="false">IF(K201=0,"",IF(LEN(TRIM(Scheda_2!$D$190&amp;""))=0,"MANCANTE",IF(LEFT(LOWER(TRIM(Scheda_2!$D$190&amp;"")),7)="non not","NON NOTO","ok")))</f>
        <v/>
      </c>
    </row>
    <row r="202" customFormat="false" ht="15" hidden="false" customHeight="false" outlineLevel="0" collapsed="false">
      <c r="A202" s="16" t="s">
        <v>598</v>
      </c>
      <c r="B202" s="31" t="s">
        <v>600</v>
      </c>
      <c r="C202" s="16" t="s">
        <v>599</v>
      </c>
      <c r="D202" s="32" t="s">
        <v>795</v>
      </c>
      <c r="E202" s="32" t="s">
        <v>795</v>
      </c>
      <c r="F202" s="32" t="s">
        <v>795</v>
      </c>
      <c r="G202" s="32" t="s">
        <v>795</v>
      </c>
      <c r="H202" s="32" t="n">
        <v>1</v>
      </c>
      <c r="I202" s="32" t="n">
        <v>1</v>
      </c>
      <c r="J202" s="32" t="str">
        <f aca="false">IF($B$5="","",IF($B$5="ORD",D202,IF($B$5="CON",E202,IF($B$5="AGI",F202,G202))))</f>
        <v>X</v>
      </c>
      <c r="K202" s="32" t="n">
        <f aca="false">IF(H202=1,1,0)</f>
        <v>1</v>
      </c>
      <c r="L202" s="32" t="str">
        <f aca="false">IF(K202=0,"",IF(LEN(TRIM(Scheda_2!$D$193&amp;""))=0,"MANCANTE",IF(LEFT(LOWER(TRIM(Scheda_2!$D$193&amp;"")),7)="non not","NON NOTO","ok")))</f>
        <v>ok</v>
      </c>
    </row>
    <row r="203" customFormat="false" ht="15" hidden="false" customHeight="false" outlineLevel="0" collapsed="false">
      <c r="A203" s="16" t="s">
        <v>601</v>
      </c>
      <c r="B203" s="31" t="s">
        <v>602</v>
      </c>
      <c r="C203" s="16" t="s">
        <v>599</v>
      </c>
      <c r="D203" s="32" t="s">
        <v>795</v>
      </c>
      <c r="E203" s="32" t="s">
        <v>795</v>
      </c>
      <c r="F203" s="32"/>
      <c r="G203" s="32" t="s">
        <v>795</v>
      </c>
      <c r="H203" s="32" t="n">
        <f aca="false">IF(Scheda_2!$D$193="Sì",1,0)</f>
        <v>0</v>
      </c>
      <c r="I203" s="32" t="n">
        <v>1</v>
      </c>
      <c r="J203" s="32" t="str">
        <f aca="false">IF($B$5="","",IF($B$5="ORD",D203,IF($B$5="CON",E203,IF($B$5="AGI",F203,G203))))</f>
        <v>X</v>
      </c>
      <c r="K203" s="32" t="n">
        <f aca="false">IF(OR(H203=0,I203=0,J203=""),0,IF(IF(J203="X",1,IF(J203="P",$B$6,IF(J203="C",$B$7,IF(J203="DR",$B$8,IF(J203="T",$B$9,0)))))=1,1,0))</f>
        <v>0</v>
      </c>
      <c r="L203" s="32" t="str">
        <f aca="false">IF(K203=0,"",IF(LEN(TRIM(Scheda_2!$D$194&amp;""))=0,"MANCANTE",IF(LEFT(LOWER(TRIM(Scheda_2!$D$194&amp;"")),7)="non not","NON NOTO","ok")))</f>
        <v/>
      </c>
    </row>
    <row r="204" customFormat="false" ht="15" hidden="false" customHeight="false" outlineLevel="0" collapsed="false">
      <c r="A204" s="16" t="s">
        <v>604</v>
      </c>
      <c r="B204" s="31" t="s">
        <v>605</v>
      </c>
      <c r="C204" s="16" t="s">
        <v>599</v>
      </c>
      <c r="D204" s="32" t="s">
        <v>795</v>
      </c>
      <c r="E204" s="32" t="s">
        <v>795</v>
      </c>
      <c r="F204" s="32"/>
      <c r="G204" s="32" t="s">
        <v>795</v>
      </c>
      <c r="H204" s="32" t="n">
        <f aca="false">IF(Scheda_2!$D$193="Sì",1,0)</f>
        <v>0</v>
      </c>
      <c r="I204" s="32" t="n">
        <f aca="false">IF(LEFT(Scheda_2!$D$194,12)="Residenziale",1,0)</f>
        <v>0</v>
      </c>
      <c r="J204" s="32" t="str">
        <f aca="false">IF($B$5="","",IF($B$5="ORD",D204,IF($B$5="CON",E204,IF($B$5="AGI",F204,G204))))</f>
        <v>X</v>
      </c>
      <c r="K204" s="32" t="n">
        <f aca="false">IF(OR(H204=0,I204=0,J204=""),0,IF(IF(J204="X",1,IF(J204="P",$B$6,IF(J204="C",$B$7,IF(J204="DR",$B$8,IF(J204="T",$B$9,0)))))=1,1,0))</f>
        <v>0</v>
      </c>
      <c r="L204" s="32" t="str">
        <f aca="false">IF(K204=0,"",IF(LEN(TRIM(Scheda_2!$D$195&amp;""))=0,"MANCANTE",IF(LEFT(LOWER(TRIM(Scheda_2!$D$195&amp;"")),7)="non not","NON NOTO","ok")))</f>
        <v/>
      </c>
    </row>
    <row r="205" customFormat="false" ht="15" hidden="false" customHeight="false" outlineLevel="0" collapsed="false">
      <c r="A205" s="16" t="s">
        <v>607</v>
      </c>
      <c r="B205" s="31" t="s">
        <v>608</v>
      </c>
      <c r="C205" s="16" t="s">
        <v>599</v>
      </c>
      <c r="D205" s="32" t="s">
        <v>795</v>
      </c>
      <c r="E205" s="32" t="s">
        <v>795</v>
      </c>
      <c r="F205" s="32"/>
      <c r="G205" s="32" t="s">
        <v>795</v>
      </c>
      <c r="H205" s="32" t="n">
        <f aca="false">IF(Scheda_2!$D$193="Sì",1,0)</f>
        <v>0</v>
      </c>
      <c r="I205" s="32" t="n">
        <v>1</v>
      </c>
      <c r="J205" s="32" t="str">
        <f aca="false">IF($B$5="","",IF($B$5="ORD",D205,IF($B$5="CON",E205,IF($B$5="AGI",F205,G205))))</f>
        <v>X</v>
      </c>
      <c r="K205" s="32" t="n">
        <f aca="false">IF(OR(H205=0,I205=0,J205=""),0,IF(IF(J205="X",1,IF(J205="P",$B$6,IF(J205="C",$B$7,IF(J205="DR",$B$8,IF(J205="T",$B$9,0)))))=1,1,0))</f>
        <v>0</v>
      </c>
      <c r="L205" s="32" t="str">
        <f aca="false">IF(K205=0,"",IF(LEN(TRIM(Scheda_2!$D$196&amp;""))=0,"MANCANTE",IF(LEFT(LOWER(TRIM(Scheda_2!$D$196&amp;"")),7)="non not","NON NOTO","ok")))</f>
        <v/>
      </c>
    </row>
    <row r="206" customFormat="false" ht="15" hidden="false" customHeight="false" outlineLevel="0" collapsed="false">
      <c r="A206" s="16" t="s">
        <v>610</v>
      </c>
      <c r="B206" s="31" t="s">
        <v>611</v>
      </c>
      <c r="C206" s="16" t="s">
        <v>599</v>
      </c>
      <c r="D206" s="32" t="s">
        <v>795</v>
      </c>
      <c r="E206" s="32" t="s">
        <v>795</v>
      </c>
      <c r="F206" s="32"/>
      <c r="G206" s="32" t="s">
        <v>795</v>
      </c>
      <c r="H206" s="32" t="n">
        <f aca="false">IF(Scheda_2!$D$193="Sì",1,0)</f>
        <v>0</v>
      </c>
      <c r="I206" s="32" t="n">
        <v>1</v>
      </c>
      <c r="J206" s="32" t="str">
        <f aca="false">IF($B$5="","",IF($B$5="ORD",D206,IF($B$5="CON",E206,IF($B$5="AGI",F206,G206))))</f>
        <v>X</v>
      </c>
      <c r="K206" s="32" t="n">
        <f aca="false">IF(OR(H206=0,I206=0,J206=""),0,IF(IF(J206="X",1,IF(J206="P",$B$6,IF(J206="C",$B$7,IF(J206="DR",$B$8,IF(J206="T",$B$9,0)))))=1,1,0))</f>
        <v>0</v>
      </c>
      <c r="L206" s="32" t="str">
        <f aca="false">IF(K206=0,"",IF(LEN(TRIM(Scheda_2!$D$197&amp;""))=0,"MANCANTE",IF(LEFT(LOWER(TRIM(Scheda_2!$D$197&amp;"")),7)="non not","NON NOTO","ok")))</f>
        <v/>
      </c>
    </row>
    <row r="207" customFormat="false" ht="15" hidden="false" customHeight="false" outlineLevel="0" collapsed="false">
      <c r="A207" s="16" t="s">
        <v>613</v>
      </c>
      <c r="B207" s="31" t="s">
        <v>614</v>
      </c>
      <c r="C207" s="16" t="s">
        <v>599</v>
      </c>
      <c r="D207" s="32" t="s">
        <v>795</v>
      </c>
      <c r="E207" s="32" t="s">
        <v>795</v>
      </c>
      <c r="F207" s="32"/>
      <c r="G207" s="32" t="s">
        <v>795</v>
      </c>
      <c r="H207" s="32" t="n">
        <f aca="false">IF(Scheda_2!$D$193="Sì",1,0)</f>
        <v>0</v>
      </c>
      <c r="I207" s="32" t="n">
        <v>1</v>
      </c>
      <c r="J207" s="32" t="str">
        <f aca="false">IF($B$5="","",IF($B$5="ORD",D207,IF($B$5="CON",E207,IF($B$5="AGI",F207,G207))))</f>
        <v>X</v>
      </c>
      <c r="K207" s="32" t="n">
        <f aca="false">IF(OR(H207=0,I207=0,J207=""),0,IF(IF(J207="X",1,IF(J207="P",$B$6,IF(J207="C",$B$7,IF(J207="DR",$B$8,IF(J207="T",$B$9,0)))))=1,1,0))</f>
        <v>0</v>
      </c>
      <c r="L207" s="32" t="str">
        <f aca="false">IF(K207=0,"",IF(LEN(TRIM(Scheda_2!$D$198&amp;""))=0,"MANCANTE",IF(LEFT(LOWER(TRIM(Scheda_2!$D$198&amp;"")),7)="non not","NON NOTO","ok")))</f>
        <v/>
      </c>
    </row>
    <row r="208" customFormat="false" ht="15" hidden="false" customHeight="false" outlineLevel="0" collapsed="false">
      <c r="A208" s="16" t="s">
        <v>615</v>
      </c>
      <c r="B208" s="31" t="s">
        <v>616</v>
      </c>
      <c r="C208" s="16" t="s">
        <v>599</v>
      </c>
      <c r="D208" s="32" t="s">
        <v>795</v>
      </c>
      <c r="E208" s="32" t="s">
        <v>795</v>
      </c>
      <c r="F208" s="32"/>
      <c r="G208" s="32" t="s">
        <v>795</v>
      </c>
      <c r="H208" s="32" t="n">
        <f aca="false">IF(Scheda_2!$D$193="Sì",1,0)</f>
        <v>0</v>
      </c>
      <c r="I208" s="32" t="n">
        <v>1</v>
      </c>
      <c r="J208" s="32" t="str">
        <f aca="false">IF($B$5="","",IF($B$5="ORD",D208,IF($B$5="CON",E208,IF($B$5="AGI",F208,G208))))</f>
        <v>X</v>
      </c>
      <c r="K208" s="32" t="n">
        <f aca="false">IF(OR(H208=0,I208=0,J208=""),0,IF(IF(J208="X",1,IF(J208="P",$B$6,IF(J208="C",$B$7,IF(J208="DR",$B$8,IF(J208="T",$B$9,0)))))=1,1,0))</f>
        <v>0</v>
      </c>
      <c r="L208" s="32" t="str">
        <f aca="false">IF(K208=0,"",IF(LEN(TRIM(Scheda_2!$D$199&amp;""))=0,"MANCANTE",IF(LEFT(LOWER(TRIM(Scheda_2!$D$199&amp;"")),7)="non not","NON NOTO","ok")))</f>
        <v/>
      </c>
    </row>
    <row r="209" customFormat="false" ht="15" hidden="false" customHeight="false" outlineLevel="0" collapsed="false">
      <c r="A209" s="16" t="s">
        <v>619</v>
      </c>
      <c r="B209" s="31" t="s">
        <v>620</v>
      </c>
      <c r="C209" s="16" t="s">
        <v>599</v>
      </c>
      <c r="D209" s="32" t="s">
        <v>795</v>
      </c>
      <c r="E209" s="32" t="s">
        <v>795</v>
      </c>
      <c r="F209" s="32"/>
      <c r="G209" s="32" t="s">
        <v>795</v>
      </c>
      <c r="H209" s="32" t="n">
        <f aca="false">IF(Scheda_2!$D$193="Sì",1,0)</f>
        <v>0</v>
      </c>
      <c r="I209" s="32" t="n">
        <f aca="false">IF(LEFT(Scheda_2!$D$194,8)="Impianti",1,0)</f>
        <v>0</v>
      </c>
      <c r="J209" s="32" t="str">
        <f aca="false">IF($B$5="","",IF($B$5="ORD",D209,IF($B$5="CON",E209,IF($B$5="AGI",F209,G209))))</f>
        <v>X</v>
      </c>
      <c r="K209" s="32" t="n">
        <f aca="false">IF(OR(H209=0,I209=0,J209=""),0,IF(IF(J209="X",1,IF(J209="P",$B$6,IF(J209="C",$B$7,IF(J209="DR",$B$8,IF(J209="T",$B$9,0)))))=1,1,0))</f>
        <v>0</v>
      </c>
      <c r="L209" s="32" t="str">
        <f aca="false">IF(K209=0,"",IF(LEN(TRIM(Scheda_2!$D$200&amp;""))=0,"MANCANTE",IF(LEFT(LOWER(TRIM(Scheda_2!$D$200&amp;"")),7)="non not","NON NOTO","ok")))</f>
        <v/>
      </c>
    </row>
    <row r="210" customFormat="false" ht="15" hidden="false" customHeight="false" outlineLevel="0" collapsed="false">
      <c r="A210" s="16" t="s">
        <v>623</v>
      </c>
      <c r="B210" s="31" t="s">
        <v>624</v>
      </c>
      <c r="C210" s="16" t="s">
        <v>599</v>
      </c>
      <c r="D210" s="32" t="s">
        <v>795</v>
      </c>
      <c r="E210" s="32" t="s">
        <v>795</v>
      </c>
      <c r="F210" s="32"/>
      <c r="G210" s="32" t="s">
        <v>795</v>
      </c>
      <c r="H210" s="32" t="n">
        <f aca="false">IF(Scheda_2!$D$193="Sì",1,0)</f>
        <v>0</v>
      </c>
      <c r="I210" s="32" t="n">
        <f aca="false">IF(LEFT(Scheda_2!$D$194,8)="Impianti",1,0)</f>
        <v>0</v>
      </c>
      <c r="J210" s="32" t="str">
        <f aca="false">IF($B$5="","",IF($B$5="ORD",D210,IF($B$5="CON",E210,IF($B$5="AGI",F210,G210))))</f>
        <v>X</v>
      </c>
      <c r="K210" s="32" t="n">
        <f aca="false">IF(OR(H210=0,I210=0,J210=""),0,IF(IF(J210="X",1,IF(J210="P",$B$6,IF(J210="C",$B$7,IF(J210="DR",$B$8,IF(J210="T",$B$9,0)))))=1,1,0))</f>
        <v>0</v>
      </c>
      <c r="L210" s="32" t="str">
        <f aca="false">IF(K210=0,"",IF(LEN(TRIM(Scheda_2!$D$201&amp;""))=0,"MANCANTE",IF(LEFT(LOWER(TRIM(Scheda_2!$D$201&amp;"")),7)="non not","NON NOTO","ok")))</f>
        <v/>
      </c>
    </row>
    <row r="211" customFormat="false" ht="15" hidden="false" customHeight="false" outlineLevel="0" collapsed="false">
      <c r="A211" s="16" t="s">
        <v>626</v>
      </c>
      <c r="B211" s="31" t="s">
        <v>627</v>
      </c>
      <c r="C211" s="16" t="s">
        <v>599</v>
      </c>
      <c r="D211" s="32" t="s">
        <v>795</v>
      </c>
      <c r="E211" s="32" t="s">
        <v>795</v>
      </c>
      <c r="F211" s="32"/>
      <c r="G211" s="32" t="s">
        <v>795</v>
      </c>
      <c r="H211" s="32" t="n">
        <f aca="false">IF(Scheda_2!$D$193="Sì",1,0)</f>
        <v>0</v>
      </c>
      <c r="I211" s="32" t="n">
        <f aca="false">IF(LEFT(Scheda_2!$D$194,8)="Impianti",1,0)</f>
        <v>0</v>
      </c>
      <c r="J211" s="32" t="str">
        <f aca="false">IF($B$5="","",IF($B$5="ORD",D211,IF($B$5="CON",E211,IF($B$5="AGI",F211,G211))))</f>
        <v>X</v>
      </c>
      <c r="K211" s="32" t="n">
        <f aca="false">IF(OR(H211=0,I211=0,J211=""),0,IF(IF(J211="X",1,IF(J211="P",$B$6,IF(J211="C",$B$7,IF(J211="DR",$B$8,IF(J211="T",$B$9,0)))))=1,1,0))</f>
        <v>0</v>
      </c>
      <c r="L211" s="32" t="str">
        <f aca="false">IF(K211=0,"",IF(LEN(TRIM(Scheda_2!$D$202&amp;""))=0,"MANCANTE",IF(LEFT(LOWER(TRIM(Scheda_2!$D$202&amp;"")),7)="non not","NON NOTO","ok")))</f>
        <v/>
      </c>
    </row>
    <row r="212" customFormat="false" ht="15" hidden="false" customHeight="false" outlineLevel="0" collapsed="false">
      <c r="A212" s="16" t="s">
        <v>628</v>
      </c>
      <c r="B212" s="31" t="s">
        <v>629</v>
      </c>
      <c r="C212" s="16" t="s">
        <v>599</v>
      </c>
      <c r="D212" s="32" t="s">
        <v>795</v>
      </c>
      <c r="E212" s="32" t="s">
        <v>795</v>
      </c>
      <c r="F212" s="32"/>
      <c r="G212" s="32" t="s">
        <v>795</v>
      </c>
      <c r="H212" s="32" t="n">
        <f aca="false">IF(Scheda_2!$D$193="Sì",1,0)</f>
        <v>0</v>
      </c>
      <c r="I212" s="32" t="n">
        <f aca="false">IF(LEFT(Scheda_2!$D$194,8)="Impianti",1,0)</f>
        <v>0</v>
      </c>
      <c r="J212" s="32" t="str">
        <f aca="false">IF($B$5="","",IF($B$5="ORD",D212,IF($B$5="CON",E212,IF($B$5="AGI",F212,G212))))</f>
        <v>X</v>
      </c>
      <c r="K212" s="32" t="n">
        <f aca="false">IF(OR(H212=0,I212=0,J212=""),0,IF(IF(J212="X",1,IF(J212="P",$B$6,IF(J212="C",$B$7,IF(J212="DR",$B$8,IF(J212="T",$B$9,0)))))=1,1,0))</f>
        <v>0</v>
      </c>
      <c r="L212" s="32" t="str">
        <f aca="false">IF(K212=0,"",IF(LEN(TRIM(Scheda_2!$D$203&amp;""))=0,"MANCANTE",IF(LEFT(LOWER(TRIM(Scheda_2!$D$203&amp;"")),7)="non not","NON NOTO","ok")))</f>
        <v/>
      </c>
    </row>
    <row r="213" customFormat="false" ht="15" hidden="false" customHeight="false" outlineLevel="0" collapsed="false">
      <c r="A213" s="16" t="s">
        <v>630</v>
      </c>
      <c r="B213" s="31" t="s">
        <v>631</v>
      </c>
      <c r="C213" s="16" t="s">
        <v>599</v>
      </c>
      <c r="D213" s="32" t="s">
        <v>795</v>
      </c>
      <c r="E213" s="32" t="s">
        <v>795</v>
      </c>
      <c r="F213" s="32"/>
      <c r="G213" s="32" t="s">
        <v>795</v>
      </c>
      <c r="H213" s="32" t="n">
        <f aca="false">IF(Scheda_2!$D$193="Sì",1,0)</f>
        <v>0</v>
      </c>
      <c r="I213" s="32" t="n">
        <f aca="false">IF(LEFT(Scheda_2!$D$194,8)="Impianti",1,0)</f>
        <v>0</v>
      </c>
      <c r="J213" s="32" t="str">
        <f aca="false">IF($B$5="","",IF($B$5="ORD",D213,IF($B$5="CON",E213,IF($B$5="AGI",F213,G213))))</f>
        <v>X</v>
      </c>
      <c r="K213" s="32" t="n">
        <f aca="false">IF(OR(H213=0,I213=0,J213=""),0,IF(IF(J213="X",1,IF(J213="P",$B$6,IF(J213="C",$B$7,IF(J213="DR",$B$8,IF(J213="T",$B$9,0)))))=1,1,0))</f>
        <v>0</v>
      </c>
      <c r="L213" s="32" t="str">
        <f aca="false">IF(K213=0,"",IF(LEN(TRIM(Scheda_2!$D$204&amp;""))=0,"MANCANTE",IF(LEFT(LOWER(TRIM(Scheda_2!$D$204&amp;"")),7)="non not","NON NOTO","ok")))</f>
        <v/>
      </c>
    </row>
    <row r="214" customFormat="false" ht="15" hidden="false" customHeight="false" outlineLevel="0" collapsed="false">
      <c r="A214" s="16" t="s">
        <v>633</v>
      </c>
      <c r="B214" s="31" t="s">
        <v>635</v>
      </c>
      <c r="C214" s="16" t="s">
        <v>634</v>
      </c>
      <c r="D214" s="32" t="s">
        <v>795</v>
      </c>
      <c r="E214" s="32" t="s">
        <v>795</v>
      </c>
      <c r="F214" s="32" t="s">
        <v>795</v>
      </c>
      <c r="G214" s="32" t="s">
        <v>795</v>
      </c>
      <c r="H214" s="32" t="n">
        <v>1</v>
      </c>
      <c r="I214" s="32" t="n">
        <v>1</v>
      </c>
      <c r="J214" s="32" t="str">
        <f aca="false">IF($B$5="","",IF($B$5="ORD",D214,IF($B$5="CON",E214,IF($B$5="AGI",F214,G214))))</f>
        <v>X</v>
      </c>
      <c r="K214" s="32" t="n">
        <f aca="false">IF(H214=1,1,0)</f>
        <v>1</v>
      </c>
      <c r="L214" s="32" t="str">
        <f aca="false">IF(K214=0,"",IF(LEN(TRIM(Scheda_2!$D$206&amp;""))=0,"MANCANTE",IF(LEFT(LOWER(TRIM(Scheda_2!$D$206&amp;"")),7)="non not","NON NOTO","ok")))</f>
        <v>ok</v>
      </c>
    </row>
    <row r="215" customFormat="false" ht="15" hidden="false" customHeight="false" outlineLevel="0" collapsed="false">
      <c r="A215" s="16" t="s">
        <v>636</v>
      </c>
      <c r="B215" s="31" t="s">
        <v>637</v>
      </c>
      <c r="C215" s="16" t="s">
        <v>634</v>
      </c>
      <c r="D215" s="32" t="s">
        <v>795</v>
      </c>
      <c r="E215" s="32" t="s">
        <v>795</v>
      </c>
      <c r="F215" s="32"/>
      <c r="G215" s="32" t="s">
        <v>795</v>
      </c>
      <c r="H215" s="32" t="n">
        <f aca="false">IF(Scheda_2!$D$206="Sì",1,0)</f>
        <v>0</v>
      </c>
      <c r="I215" s="32" t="n">
        <v>1</v>
      </c>
      <c r="J215" s="32" t="str">
        <f aca="false">IF($B$5="","",IF($B$5="ORD",D215,IF($B$5="CON",E215,IF($B$5="AGI",F215,G215))))</f>
        <v>X</v>
      </c>
      <c r="K215" s="32" t="n">
        <f aca="false">IF(OR(H215=0,I215=0,J215=""),0,IF(IF(J215="X",1,IF(J215="P",$B$6,IF(J215="C",$B$7,IF(J215="DR",$B$8,IF(J215="T",$B$9,0)))))=1,1,0))</f>
        <v>0</v>
      </c>
      <c r="L215" s="32" t="str">
        <f aca="false">IF(K215=0,"",IF(LEN(TRIM(Scheda_2!$D$207&amp;""))=0,"MANCANTE",IF(LEFT(LOWER(TRIM(Scheda_2!$D$207&amp;"")),7)="non not","NON NOTO","ok")))</f>
        <v/>
      </c>
    </row>
    <row r="216" customFormat="false" ht="15" hidden="false" customHeight="false" outlineLevel="0" collapsed="false">
      <c r="A216" s="16" t="s">
        <v>639</v>
      </c>
      <c r="B216" s="31" t="s">
        <v>640</v>
      </c>
      <c r="C216" s="16" t="s">
        <v>634</v>
      </c>
      <c r="D216" s="32" t="s">
        <v>795</v>
      </c>
      <c r="E216" s="32" t="s">
        <v>795</v>
      </c>
      <c r="F216" s="32"/>
      <c r="G216" s="32" t="s">
        <v>795</v>
      </c>
      <c r="H216" s="32" t="n">
        <f aca="false">IF(Scheda_2!$D$206="Sì",1,0)</f>
        <v>0</v>
      </c>
      <c r="I216" s="32" t="n">
        <v>1</v>
      </c>
      <c r="J216" s="32" t="str">
        <f aca="false">IF($B$5="","",IF($B$5="ORD",D216,IF($B$5="CON",E216,IF($B$5="AGI",F216,G216))))</f>
        <v>X</v>
      </c>
      <c r="K216" s="32" t="n">
        <f aca="false">IF(OR(H216=0,I216=0,J216=""),0,IF(IF(J216="X",1,IF(J216="P",$B$6,IF(J216="C",$B$7,IF(J216="DR",$B$8,IF(J216="T",$B$9,0)))))=1,1,0))</f>
        <v>0</v>
      </c>
      <c r="L216" s="32" t="str">
        <f aca="false">IF(K216=0,"",IF(LEN(TRIM(Scheda_2!$D$208&amp;""))=0,"MANCANTE",IF(LEFT(LOWER(TRIM(Scheda_2!$D$208&amp;"")),7)="non not","NON NOTO","ok")))</f>
        <v/>
      </c>
    </row>
    <row r="217" customFormat="false" ht="15" hidden="false" customHeight="false" outlineLevel="0" collapsed="false">
      <c r="A217" s="16" t="s">
        <v>642</v>
      </c>
      <c r="B217" s="31" t="s">
        <v>643</v>
      </c>
      <c r="C217" s="16" t="s">
        <v>634</v>
      </c>
      <c r="D217" s="32" t="s">
        <v>795</v>
      </c>
      <c r="E217" s="32" t="s">
        <v>795</v>
      </c>
      <c r="F217" s="32"/>
      <c r="G217" s="32" t="s">
        <v>795</v>
      </c>
      <c r="H217" s="32" t="n">
        <f aca="false">IF(Scheda_2!$D$206="Sì",1,0)</f>
        <v>0</v>
      </c>
      <c r="I217" s="32" t="n">
        <v>1</v>
      </c>
      <c r="J217" s="32" t="str">
        <f aca="false">IF($B$5="","",IF($B$5="ORD",D217,IF($B$5="CON",E217,IF($B$5="AGI",F217,G217))))</f>
        <v>X</v>
      </c>
      <c r="K217" s="32" t="n">
        <f aca="false">IF(OR(H217=0,I217=0,J217=""),0,IF(IF(J217="X",1,IF(J217="P",$B$6,IF(J217="C",$B$7,IF(J217="DR",$B$8,IF(J217="T",$B$9,0)))))=1,1,0))</f>
        <v>0</v>
      </c>
      <c r="L217" s="32" t="str">
        <f aca="false">IF(K217=0,"",IF(LEN(TRIM(Scheda_2!$D$209&amp;""))=0,"MANCANTE",IF(LEFT(LOWER(TRIM(Scheda_2!$D$209&amp;"")),7)="non not","NON NOTO","ok")))</f>
        <v/>
      </c>
    </row>
    <row r="218" customFormat="false" ht="15" hidden="false" customHeight="false" outlineLevel="0" collapsed="false">
      <c r="A218" s="16" t="s">
        <v>645</v>
      </c>
      <c r="B218" s="31" t="s">
        <v>646</v>
      </c>
      <c r="C218" s="16" t="s">
        <v>634</v>
      </c>
      <c r="D218" s="32" t="s">
        <v>795</v>
      </c>
      <c r="E218" s="32" t="s">
        <v>795</v>
      </c>
      <c r="F218" s="32"/>
      <c r="G218" s="32" t="s">
        <v>795</v>
      </c>
      <c r="H218" s="32" t="n">
        <f aca="false">IF(Scheda_2!$D$206="Sì",1,0)</f>
        <v>0</v>
      </c>
      <c r="I218" s="32" t="n">
        <v>1</v>
      </c>
      <c r="J218" s="32" t="str">
        <f aca="false">IF($B$5="","",IF($B$5="ORD",D218,IF($B$5="CON",E218,IF($B$5="AGI",F218,G218))))</f>
        <v>X</v>
      </c>
      <c r="K218" s="32" t="n">
        <f aca="false">IF(OR(H218=0,I218=0,J218=""),0,IF(IF(J218="X",1,IF(J218="P",$B$6,IF(J218="C",$B$7,IF(J218="DR",$B$8,IF(J218="T",$B$9,0)))))=1,1,0))</f>
        <v>0</v>
      </c>
      <c r="L218" s="32" t="str">
        <f aca="false">IF(K218=0,"",IF(LEN(TRIM(Scheda_2!$D$210&amp;""))=0,"MANCANTE",IF(LEFT(LOWER(TRIM(Scheda_2!$D$210&amp;"")),7)="non not","NON NOTO","ok")))</f>
        <v/>
      </c>
    </row>
    <row r="219" customFormat="false" ht="15" hidden="false" customHeight="false" outlineLevel="0" collapsed="false">
      <c r="A219" s="16" t="s">
        <v>647</v>
      </c>
      <c r="B219" s="31" t="s">
        <v>648</v>
      </c>
      <c r="C219" s="16" t="s">
        <v>634</v>
      </c>
      <c r="D219" s="32" t="s">
        <v>795</v>
      </c>
      <c r="E219" s="32" t="s">
        <v>795</v>
      </c>
      <c r="F219" s="32"/>
      <c r="G219" s="32" t="s">
        <v>795</v>
      </c>
      <c r="H219" s="32" t="n">
        <f aca="false">IF(Scheda_2!$D$206="Sì",1,0)</f>
        <v>0</v>
      </c>
      <c r="I219" s="32" t="n">
        <v>1</v>
      </c>
      <c r="J219" s="32" t="str">
        <f aca="false">IF($B$5="","",IF($B$5="ORD",D219,IF($B$5="CON",E219,IF($B$5="AGI",F219,G219))))</f>
        <v>X</v>
      </c>
      <c r="K219" s="32" t="n">
        <f aca="false">IF(OR(H219=0,I219=0,J219=""),0,IF(IF(J219="X",1,IF(J219="P",$B$6,IF(J219="C",$B$7,IF(J219="DR",$B$8,IF(J219="T",$B$9,0)))))=1,1,0))</f>
        <v>0</v>
      </c>
      <c r="L219" s="32" t="str">
        <f aca="false">IF(K219=0,"",IF(LEN(TRIM(Scheda_2!$D$211&amp;""))=0,"MANCANTE",IF(LEFT(LOWER(TRIM(Scheda_2!$D$211&amp;"")),7)="non not","NON NOTO","ok")))</f>
        <v/>
      </c>
    </row>
    <row r="220" customFormat="false" ht="15" hidden="false" customHeight="false" outlineLevel="0" collapsed="false">
      <c r="A220" s="16" t="s">
        <v>649</v>
      </c>
      <c r="B220" s="31" t="s">
        <v>650</v>
      </c>
      <c r="C220" s="16" t="s">
        <v>634</v>
      </c>
      <c r="D220" s="32" t="s">
        <v>795</v>
      </c>
      <c r="E220" s="32" t="s">
        <v>795</v>
      </c>
      <c r="F220" s="32"/>
      <c r="G220" s="32" t="s">
        <v>795</v>
      </c>
      <c r="H220" s="32" t="n">
        <f aca="false">IF(Scheda_2!$D$206="Sì",1,0)</f>
        <v>0</v>
      </c>
      <c r="I220" s="32" t="n">
        <v>1</v>
      </c>
      <c r="J220" s="32" t="str">
        <f aca="false">IF($B$5="","",IF($B$5="ORD",D220,IF($B$5="CON",E220,IF($B$5="AGI",F220,G220))))</f>
        <v>X</v>
      </c>
      <c r="K220" s="32" t="n">
        <f aca="false">IF(OR(H220=0,I220=0,J220=""),0,IF(IF(J220="X",1,IF(J220="P",$B$6,IF(J220="C",$B$7,IF(J220="DR",$B$8,IF(J220="T",$B$9,0)))))=1,1,0))</f>
        <v>0</v>
      </c>
      <c r="L220" s="32" t="str">
        <f aca="false">IF(K220=0,"",IF(LEN(TRIM(Scheda_2!$D$212&amp;""))=0,"MANCANTE",IF(LEFT(LOWER(TRIM(Scheda_2!$D$212&amp;"")),7)="non not","NON NOTO","ok")))</f>
        <v/>
      </c>
    </row>
    <row r="221" customFormat="false" ht="15" hidden="false" customHeight="false" outlineLevel="0" collapsed="false">
      <c r="A221" s="16" t="s">
        <v>651</v>
      </c>
      <c r="B221" s="31" t="s">
        <v>652</v>
      </c>
      <c r="C221" s="16" t="s">
        <v>634</v>
      </c>
      <c r="D221" s="32" t="s">
        <v>795</v>
      </c>
      <c r="E221" s="32" t="s">
        <v>795</v>
      </c>
      <c r="F221" s="32"/>
      <c r="G221" s="32" t="s">
        <v>795</v>
      </c>
      <c r="H221" s="32" t="n">
        <f aca="false">IF(Scheda_2!$D$206="Sì",1,0)</f>
        <v>0</v>
      </c>
      <c r="I221" s="32" t="n">
        <v>1</v>
      </c>
      <c r="J221" s="32" t="str">
        <f aca="false">IF($B$5="","",IF($B$5="ORD",D221,IF($B$5="CON",E221,IF($B$5="AGI",F221,G221))))</f>
        <v>X</v>
      </c>
      <c r="K221" s="32" t="n">
        <f aca="false">IF(OR(H221=0,I221=0,J221=""),0,IF(IF(J221="X",1,IF(J221="P",$B$6,IF(J221="C",$B$7,IF(J221="DR",$B$8,IF(J221="T",$B$9,0)))))=1,1,0))</f>
        <v>0</v>
      </c>
      <c r="L221" s="32" t="str">
        <f aca="false">IF(K221=0,"",IF(LEN(TRIM(Scheda_2!$D$213&amp;""))=0,"MANCANTE",IF(LEFT(LOWER(TRIM(Scheda_2!$D$213&amp;"")),7)="non not","NON NOTO","ok")))</f>
        <v/>
      </c>
    </row>
    <row r="222" customFormat="false" ht="15" hidden="false" customHeight="false" outlineLevel="0" collapsed="false">
      <c r="A222" s="16" t="s">
        <v>653</v>
      </c>
      <c r="B222" s="31" t="s">
        <v>654</v>
      </c>
      <c r="C222" s="16" t="s">
        <v>634</v>
      </c>
      <c r="D222" s="32" t="s">
        <v>795</v>
      </c>
      <c r="E222" s="32" t="s">
        <v>795</v>
      </c>
      <c r="F222" s="32"/>
      <c r="G222" s="32" t="s">
        <v>795</v>
      </c>
      <c r="H222" s="32" t="n">
        <f aca="false">IF(Scheda_2!$D$206="Sì",1,0)</f>
        <v>0</v>
      </c>
      <c r="I222" s="32" t="n">
        <v>1</v>
      </c>
      <c r="J222" s="32" t="str">
        <f aca="false">IF($B$5="","",IF($B$5="ORD",D222,IF($B$5="CON",E222,IF($B$5="AGI",F222,G222))))</f>
        <v>X</v>
      </c>
      <c r="K222" s="32" t="n">
        <f aca="false">IF(OR(H222=0,I222=0,J222=""),0,IF(IF(J222="X",1,IF(J222="P",$B$6,IF(J222="C",$B$7,IF(J222="DR",$B$8,IF(J222="T",$B$9,0)))))=1,1,0))</f>
        <v>0</v>
      </c>
      <c r="L222" s="32" t="str">
        <f aca="false">IF(K222=0,"",IF(LEN(TRIM(Scheda_2!$D$214&amp;""))=0,"MANCANTE",IF(LEFT(LOWER(TRIM(Scheda_2!$D$214&amp;"")),7)="non not","NON NOTO","ok")))</f>
        <v/>
      </c>
    </row>
    <row r="223" customFormat="false" ht="15" hidden="false" customHeight="false" outlineLevel="0" collapsed="false">
      <c r="A223" s="16" t="s">
        <v>655</v>
      </c>
      <c r="B223" s="31" t="s">
        <v>656</v>
      </c>
      <c r="C223" s="16" t="s">
        <v>634</v>
      </c>
      <c r="D223" s="32" t="s">
        <v>795</v>
      </c>
      <c r="E223" s="32" t="s">
        <v>795</v>
      </c>
      <c r="F223" s="32"/>
      <c r="G223" s="32" t="s">
        <v>795</v>
      </c>
      <c r="H223" s="32" t="n">
        <f aca="false">IF(Scheda_2!$D$206="Sì",1,0)</f>
        <v>0</v>
      </c>
      <c r="I223" s="32" t="n">
        <v>1</v>
      </c>
      <c r="J223" s="32" t="str">
        <f aca="false">IF($B$5="","",IF($B$5="ORD",D223,IF($B$5="CON",E223,IF($B$5="AGI",F223,G223))))</f>
        <v>X</v>
      </c>
      <c r="K223" s="32" t="n">
        <f aca="false">IF(OR(H223=0,I223=0,J223=""),0,IF(IF(J223="X",1,IF(J223="P",$B$6,IF(J223="C",$B$7,IF(J223="DR",$B$8,IF(J223="T",$B$9,0)))))=1,1,0))</f>
        <v>0</v>
      </c>
      <c r="L223" s="32" t="str">
        <f aca="false">IF(K223=0,"",IF(LEN(TRIM(Scheda_2!$D$215&amp;""))=0,"MANCANTE",IF(LEFT(LOWER(TRIM(Scheda_2!$D$215&amp;"")),7)="non not","NON NOTO","ok")))</f>
        <v/>
      </c>
    </row>
    <row r="224" customFormat="false" ht="15" hidden="false" customHeight="false" outlineLevel="0" collapsed="false">
      <c r="A224" s="16" t="s">
        <v>658</v>
      </c>
      <c r="B224" s="31" t="s">
        <v>660</v>
      </c>
      <c r="C224" s="16" t="s">
        <v>659</v>
      </c>
      <c r="D224" s="32" t="s">
        <v>795</v>
      </c>
      <c r="E224" s="32" t="s">
        <v>795</v>
      </c>
      <c r="F224" s="32" t="s">
        <v>795</v>
      </c>
      <c r="G224" s="32" t="s">
        <v>795</v>
      </c>
      <c r="H224" s="32" t="n">
        <v>1</v>
      </c>
      <c r="I224" s="32" t="n">
        <v>1</v>
      </c>
      <c r="J224" s="32" t="str">
        <f aca="false">IF($B$5="","",IF($B$5="ORD",D224,IF($B$5="CON",E224,IF($B$5="AGI",F224,G224))))</f>
        <v>X</v>
      </c>
      <c r="K224" s="32" t="n">
        <f aca="false">IF(H224=1,1,0)</f>
        <v>1</v>
      </c>
      <c r="L224" s="32" t="str">
        <f aca="false">IF(K224=0,"",IF(LEN(TRIM(Scheda_2!$D$217&amp;""))=0,"MANCANTE",IF(LEFT(LOWER(TRIM(Scheda_2!$D$217&amp;"")),7)="non not","NON NOTO","ok")))</f>
        <v>ok</v>
      </c>
    </row>
    <row r="225" customFormat="false" ht="15" hidden="false" customHeight="false" outlineLevel="0" collapsed="false">
      <c r="A225" s="16" t="s">
        <v>661</v>
      </c>
      <c r="B225" s="31" t="s">
        <v>662</v>
      </c>
      <c r="C225" s="16" t="s">
        <v>659</v>
      </c>
      <c r="D225" s="32" t="s">
        <v>795</v>
      </c>
      <c r="E225" s="32"/>
      <c r="F225" s="32"/>
      <c r="G225" s="32"/>
      <c r="H225" s="32" t="n">
        <f aca="false">IF(Scheda_2!$D$217="Sì",1,0)</f>
        <v>0</v>
      </c>
      <c r="I225" s="32" t="n">
        <v>1</v>
      </c>
      <c r="J225" s="32" t="str">
        <f aca="false">IF($B$5="","",IF($B$5="ORD",D225,IF($B$5="CON",E225,IF($B$5="AGI",F225,G225))))</f>
        <v>X</v>
      </c>
      <c r="K225" s="32" t="n">
        <f aca="false">IF(OR(H225=0,I225=0,J225=""),0,IF(IF(J225="X",1,IF(J225="P",$B$6,IF(J225="C",$B$7,IF(J225="DR",$B$8,IF(J225="T",$B$9,0)))))=1,1,0))</f>
        <v>0</v>
      </c>
      <c r="L225" s="32" t="str">
        <f aca="false">IF(K225=0,"",IF(LEN(TRIM(Scheda_2!$D$218&amp;""))=0,"MANCANTE",IF(LEFT(LOWER(TRIM(Scheda_2!$D$218&amp;"")),7)="non not","NON NOTO","ok")))</f>
        <v/>
      </c>
    </row>
    <row r="226" customFormat="false" ht="15" hidden="false" customHeight="false" outlineLevel="0" collapsed="false">
      <c r="A226" s="16" t="s">
        <v>665</v>
      </c>
      <c r="B226" s="31" t="s">
        <v>666</v>
      </c>
      <c r="C226" s="16" t="s">
        <v>659</v>
      </c>
      <c r="D226" s="32" t="s">
        <v>795</v>
      </c>
      <c r="E226" s="32"/>
      <c r="F226" s="32"/>
      <c r="G226" s="32"/>
      <c r="H226" s="32" t="n">
        <f aca="false">IF(Scheda_2!$D$217="Sì",1,0)</f>
        <v>0</v>
      </c>
      <c r="I226" s="32" t="n">
        <v>1</v>
      </c>
      <c r="J226" s="32" t="str">
        <f aca="false">IF($B$5="","",IF($B$5="ORD",D226,IF($B$5="CON",E226,IF($B$5="AGI",F226,G226))))</f>
        <v>X</v>
      </c>
      <c r="K226" s="32" t="n">
        <f aca="false">IF(OR(H226=0,I226=0,J226=""),0,IF(IF(J226="X",1,IF(J226="P",$B$6,IF(J226="C",$B$7,IF(J226="DR",$B$8,IF(J226="T",$B$9,0)))))=1,1,0))</f>
        <v>0</v>
      </c>
      <c r="L226" s="32" t="str">
        <f aca="false">IF(K226=0,"",IF(LEN(TRIM(Scheda_2!$D$219&amp;""))=0,"MANCANTE",IF(LEFT(LOWER(TRIM(Scheda_2!$D$219&amp;"")),7)="non not","NON NOTO","ok")))</f>
        <v/>
      </c>
    </row>
    <row r="227" customFormat="false" ht="15" hidden="false" customHeight="false" outlineLevel="0" collapsed="false">
      <c r="A227" s="16" t="s">
        <v>668</v>
      </c>
      <c r="B227" s="31" t="s">
        <v>669</v>
      </c>
      <c r="C227" s="16" t="s">
        <v>659</v>
      </c>
      <c r="D227" s="32" t="s">
        <v>795</v>
      </c>
      <c r="E227" s="32"/>
      <c r="F227" s="32"/>
      <c r="G227" s="32"/>
      <c r="H227" s="32" t="n">
        <f aca="false">IF(Scheda_2!$D$217="Sì",1,0)</f>
        <v>0</v>
      </c>
      <c r="I227" s="32" t="n">
        <v>1</v>
      </c>
      <c r="J227" s="32" t="str">
        <f aca="false">IF($B$5="","",IF($B$5="ORD",D227,IF($B$5="CON",E227,IF($B$5="AGI",F227,G227))))</f>
        <v>X</v>
      </c>
      <c r="K227" s="32" t="n">
        <f aca="false">IF(OR(H227=0,I227=0,J227=""),0,IF(IF(J227="X",1,IF(J227="P",$B$6,IF(J227="C",$B$7,IF(J227="DR",$B$8,IF(J227="T",$B$9,0)))))=1,1,0))</f>
        <v>0</v>
      </c>
      <c r="L227" s="32" t="str">
        <f aca="false">IF(K227=0,"",IF(LEN(TRIM(Scheda_2!$D$220&amp;""))=0,"MANCANTE",IF(LEFT(LOWER(TRIM(Scheda_2!$D$220&amp;"")),7)="non not","NON NOTO","ok")))</f>
        <v/>
      </c>
    </row>
    <row r="228" customFormat="false" ht="15" hidden="false" customHeight="false" outlineLevel="0" collapsed="false">
      <c r="A228" s="16" t="s">
        <v>670</v>
      </c>
      <c r="B228" s="31" t="s">
        <v>671</v>
      </c>
      <c r="C228" s="16" t="s">
        <v>659</v>
      </c>
      <c r="D228" s="32" t="s">
        <v>795</v>
      </c>
      <c r="E228" s="32"/>
      <c r="F228" s="32"/>
      <c r="G228" s="32"/>
      <c r="H228" s="32" t="n">
        <f aca="false">IF(Scheda_2!$D$217="Sì",1,0)</f>
        <v>0</v>
      </c>
      <c r="I228" s="32" t="n">
        <v>1</v>
      </c>
      <c r="J228" s="32" t="str">
        <f aca="false">IF($B$5="","",IF($B$5="ORD",D228,IF($B$5="CON",E228,IF($B$5="AGI",F228,G228))))</f>
        <v>X</v>
      </c>
      <c r="K228" s="32" t="n">
        <f aca="false">IF(OR(H228=0,I228=0,J228=""),0,IF(IF(J228="X",1,IF(J228="P",$B$6,IF(J228="C",$B$7,IF(J228="DR",$B$8,IF(J228="T",$B$9,0)))))=1,1,0))</f>
        <v>0</v>
      </c>
      <c r="L228" s="32" t="str">
        <f aca="false">IF(K228=0,"",IF(LEN(TRIM(Scheda_2!$D$221&amp;""))=0,"MANCANTE",IF(LEFT(LOWER(TRIM(Scheda_2!$D$221&amp;"")),7)="non not","NON NOTO","ok")))</f>
        <v/>
      </c>
    </row>
    <row r="229" customFormat="false" ht="15" hidden="false" customHeight="false" outlineLevel="0" collapsed="false">
      <c r="A229" s="16" t="s">
        <v>672</v>
      </c>
      <c r="B229" s="31" t="s">
        <v>673</v>
      </c>
      <c r="C229" s="16" t="s">
        <v>659</v>
      </c>
      <c r="D229" s="32" t="s">
        <v>795</v>
      </c>
      <c r="E229" s="32"/>
      <c r="F229" s="32"/>
      <c r="G229" s="32"/>
      <c r="H229" s="32" t="n">
        <f aca="false">IF(Scheda_2!$D$217="Sì",1,0)</f>
        <v>0</v>
      </c>
      <c r="I229" s="32" t="n">
        <v>1</v>
      </c>
      <c r="J229" s="32" t="str">
        <f aca="false">IF($B$5="","",IF($B$5="ORD",D229,IF($B$5="CON",E229,IF($B$5="AGI",F229,G229))))</f>
        <v>X</v>
      </c>
      <c r="K229" s="32" t="n">
        <f aca="false">IF(OR(H229=0,I229=0,J229=""),0,IF(IF(J229="X",1,IF(J229="P",$B$6,IF(J229="C",$B$7,IF(J229="DR",$B$8,IF(J229="T",$B$9,0)))))=1,1,0))</f>
        <v>0</v>
      </c>
      <c r="L229" s="32" t="str">
        <f aca="false">IF(K229=0,"",IF(LEN(TRIM(Scheda_2!$D$222&amp;""))=0,"MANCANTE",IF(LEFT(LOWER(TRIM(Scheda_2!$D$222&amp;"")),7)="non not","NON NOTO","ok")))</f>
        <v/>
      </c>
    </row>
    <row r="230" customFormat="false" ht="15" hidden="false" customHeight="false" outlineLevel="0" collapsed="false">
      <c r="A230" s="16" t="s">
        <v>676</v>
      </c>
      <c r="B230" s="31" t="s">
        <v>677</v>
      </c>
      <c r="C230" s="16" t="s">
        <v>659</v>
      </c>
      <c r="D230" s="32" t="s">
        <v>795</v>
      </c>
      <c r="E230" s="32"/>
      <c r="F230" s="32"/>
      <c r="G230" s="32"/>
      <c r="H230" s="32" t="n">
        <f aca="false">IF(Scheda_2!$D$217="Sì",1,0)</f>
        <v>0</v>
      </c>
      <c r="I230" s="32" t="n">
        <v>1</v>
      </c>
      <c r="J230" s="32" t="str">
        <f aca="false">IF($B$5="","",IF($B$5="ORD",D230,IF($B$5="CON",E230,IF($B$5="AGI",F230,G230))))</f>
        <v>X</v>
      </c>
      <c r="K230" s="32" t="n">
        <f aca="false">IF(OR(H230=0,I230=0,J230=""),0,IF(IF(J230="X",1,IF(J230="P",$B$6,IF(J230="C",$B$7,IF(J230="DR",$B$8,IF(J230="T",$B$9,0)))))=1,1,0))</f>
        <v>0</v>
      </c>
      <c r="L230" s="32" t="str">
        <f aca="false">IF(K230=0,"",IF(LEN(TRIM(Scheda_2!$D$223&amp;""))=0,"MANCANTE",IF(LEFT(LOWER(TRIM(Scheda_2!$D$223&amp;"")),7)="non not","NON NOTO","ok")))</f>
        <v/>
      </c>
    </row>
    <row r="231" customFormat="false" ht="15" hidden="false" customHeight="false" outlineLevel="0" collapsed="false">
      <c r="A231" s="16" t="s">
        <v>678</v>
      </c>
      <c r="B231" s="31" t="s">
        <v>679</v>
      </c>
      <c r="C231" s="16" t="s">
        <v>659</v>
      </c>
      <c r="D231" s="32" t="s">
        <v>795</v>
      </c>
      <c r="E231" s="32"/>
      <c r="F231" s="32"/>
      <c r="G231" s="32"/>
      <c r="H231" s="32" t="n">
        <f aca="false">IF(Scheda_2!$D$217="Sì",1,0)</f>
        <v>0</v>
      </c>
      <c r="I231" s="32" t="n">
        <v>1</v>
      </c>
      <c r="J231" s="32" t="str">
        <f aca="false">IF($B$5="","",IF($B$5="ORD",D231,IF($B$5="CON",E231,IF($B$5="AGI",F231,G231))))</f>
        <v>X</v>
      </c>
      <c r="K231" s="32" t="n">
        <f aca="false">IF(OR(H231=0,I231=0,J231=""),0,IF(IF(J231="X",1,IF(J231="P",$B$6,IF(J231="C",$B$7,IF(J231="DR",$B$8,IF(J231="T",$B$9,0)))))=1,1,0))</f>
        <v>0</v>
      </c>
      <c r="L231" s="32" t="str">
        <f aca="false">IF(K231=0,"",IF(LEN(TRIM(Scheda_2!$D$224&amp;""))=0,"MANCANTE",IF(LEFT(LOWER(TRIM(Scheda_2!$D$224&amp;"")),7)="non not","NON NOTO","ok")))</f>
        <v/>
      </c>
    </row>
    <row r="232" customFormat="false" ht="15" hidden="false" customHeight="false" outlineLevel="0" collapsed="false">
      <c r="A232" s="16" t="s">
        <v>680</v>
      </c>
      <c r="B232" s="31" t="s">
        <v>681</v>
      </c>
      <c r="C232" s="16" t="s">
        <v>659</v>
      </c>
      <c r="D232" s="32" t="s">
        <v>795</v>
      </c>
      <c r="E232" s="32"/>
      <c r="F232" s="32"/>
      <c r="G232" s="32"/>
      <c r="H232" s="32" t="n">
        <f aca="false">IF(Scheda_2!$D$217="Sì",1,0)</f>
        <v>0</v>
      </c>
      <c r="I232" s="32" t="n">
        <v>1</v>
      </c>
      <c r="J232" s="32" t="str">
        <f aca="false">IF($B$5="","",IF($B$5="ORD",D232,IF($B$5="CON",E232,IF($B$5="AGI",F232,G232))))</f>
        <v>X</v>
      </c>
      <c r="K232" s="32" t="n">
        <f aca="false">IF(OR(H232=0,I232=0,J232=""),0,IF(IF(J232="X",1,IF(J232="P",$B$6,IF(J232="C",$B$7,IF(J232="DR",$B$8,IF(J232="T",$B$9,0)))))=1,1,0))</f>
        <v>0</v>
      </c>
      <c r="L232" s="32" t="str">
        <f aca="false">IF(K232=0,"",IF(LEN(TRIM(Scheda_2!$D$225&amp;""))=0,"MANCANTE",IF(LEFT(LOWER(TRIM(Scheda_2!$D$225&amp;"")),7)="non not","NON NOTO","ok")))</f>
        <v/>
      </c>
    </row>
    <row r="233" customFormat="false" ht="15" hidden="false" customHeight="false" outlineLevel="0" collapsed="false">
      <c r="A233" s="16" t="s">
        <v>684</v>
      </c>
      <c r="B233" s="31" t="s">
        <v>686</v>
      </c>
      <c r="C233" s="16" t="s">
        <v>685</v>
      </c>
      <c r="D233" s="32" t="s">
        <v>795</v>
      </c>
      <c r="E233" s="32" t="s">
        <v>795</v>
      </c>
      <c r="F233" s="32" t="s">
        <v>795</v>
      </c>
      <c r="G233" s="32" t="s">
        <v>795</v>
      </c>
      <c r="H233" s="32" t="n">
        <v>1</v>
      </c>
      <c r="I233" s="32" t="n">
        <v>1</v>
      </c>
      <c r="J233" s="32" t="str">
        <f aca="false">IF($B$5="","",IF($B$5="ORD",D233,IF($B$5="CON",E233,IF($B$5="AGI",F233,G233))))</f>
        <v>X</v>
      </c>
      <c r="K233" s="32" t="n">
        <f aca="false">IF(H233=1,1,0)</f>
        <v>1</v>
      </c>
      <c r="L233" s="32" t="str">
        <f aca="false">IF(K233=0,"",IF(LEN(TRIM(Scheda_2!$D$228&amp;""))=0,"MANCANTE",IF(LEFT(LOWER(TRIM(Scheda_2!$D$228&amp;"")),7)="non not","NON NOTO","ok")))</f>
        <v>ok</v>
      </c>
    </row>
    <row r="234" customFormat="false" ht="15" hidden="false" customHeight="false" outlineLevel="0" collapsed="false">
      <c r="A234" s="16" t="s">
        <v>687</v>
      </c>
      <c r="B234" s="31" t="s">
        <v>688</v>
      </c>
      <c r="C234" s="16" t="s">
        <v>685</v>
      </c>
      <c r="D234" s="32" t="s">
        <v>795</v>
      </c>
      <c r="E234" s="32"/>
      <c r="F234" s="32"/>
      <c r="G234" s="32" t="s">
        <v>795</v>
      </c>
      <c r="H234" s="32" t="n">
        <f aca="false">IF(Scheda_2!$D$228="Sì",1,0)</f>
        <v>0</v>
      </c>
      <c r="I234" s="32" t="n">
        <v>1</v>
      </c>
      <c r="J234" s="32" t="str">
        <f aca="false">IF($B$5="","",IF($B$5="ORD",D234,IF($B$5="CON",E234,IF($B$5="AGI",F234,G234))))</f>
        <v>X</v>
      </c>
      <c r="K234" s="32" t="n">
        <f aca="false">IF(OR(H234=0,I234=0,J234=""),0,IF(IF(J234="X",1,IF(J234="P",$B$6,IF(J234="C",$B$7,IF(J234="DR",$B$8,IF(J234="T",$B$9,0)))))=1,1,0))</f>
        <v>0</v>
      </c>
      <c r="L234" s="32" t="str">
        <f aca="false">IF(K234=0,"",IF(LEN(TRIM(Scheda_2!$D$229&amp;""))=0,"MANCANTE",IF(LEFT(LOWER(TRIM(Scheda_2!$D$229&amp;"")),7)="non not","NON NOTO","ok")))</f>
        <v/>
      </c>
    </row>
    <row r="235" customFormat="false" ht="15" hidden="false" customHeight="false" outlineLevel="0" collapsed="false">
      <c r="A235" s="16" t="s">
        <v>690</v>
      </c>
      <c r="B235" s="31" t="s">
        <v>691</v>
      </c>
      <c r="C235" s="16" t="s">
        <v>685</v>
      </c>
      <c r="D235" s="32" t="s">
        <v>795</v>
      </c>
      <c r="E235" s="32"/>
      <c r="F235" s="32"/>
      <c r="G235" s="32" t="s">
        <v>795</v>
      </c>
      <c r="H235" s="32" t="n">
        <f aca="false">IF(Scheda_2!$D$228="Sì",1,0)</f>
        <v>0</v>
      </c>
      <c r="I235" s="32" t="n">
        <v>1</v>
      </c>
      <c r="J235" s="32" t="str">
        <f aca="false">IF($B$5="","",IF($B$5="ORD",D235,IF($B$5="CON",E235,IF($B$5="AGI",F235,G235))))</f>
        <v>X</v>
      </c>
      <c r="K235" s="32" t="n">
        <f aca="false">IF(OR(H235=0,I235=0,J235=""),0,IF(IF(J235="X",1,IF(J235="P",$B$6,IF(J235="C",$B$7,IF(J235="DR",$B$8,IF(J235="T",$B$9,0)))))=1,1,0))</f>
        <v>0</v>
      </c>
      <c r="L235" s="32" t="str">
        <f aca="false">IF(K235=0,"",IF(LEN(TRIM(Scheda_2!$D$230&amp;""))=0,"MANCANTE",IF(LEFT(LOWER(TRIM(Scheda_2!$D$230&amp;"")),7)="non not","NON NOTO","ok")))</f>
        <v/>
      </c>
    </row>
    <row r="236" customFormat="false" ht="15" hidden="false" customHeight="false" outlineLevel="0" collapsed="false">
      <c r="A236" s="16" t="s">
        <v>693</v>
      </c>
      <c r="B236" s="31" t="s">
        <v>694</v>
      </c>
      <c r="C236" s="16" t="s">
        <v>685</v>
      </c>
      <c r="D236" s="32" t="s">
        <v>795</v>
      </c>
      <c r="E236" s="32"/>
      <c r="F236" s="32"/>
      <c r="G236" s="32" t="s">
        <v>795</v>
      </c>
      <c r="H236" s="32" t="n">
        <f aca="false">IF(Scheda_2!$D$228="Sì",1,0)</f>
        <v>0</v>
      </c>
      <c r="I236" s="32" t="n">
        <f aca="false">IF(Scheda_2!$D$230="Sì",1,0)</f>
        <v>0</v>
      </c>
      <c r="J236" s="32" t="str">
        <f aca="false">IF($B$5="","",IF($B$5="ORD",D236,IF($B$5="CON",E236,IF($B$5="AGI",F236,G236))))</f>
        <v>X</v>
      </c>
      <c r="K236" s="32" t="n">
        <f aca="false">IF(OR(H236=0,I236=0,J236=""),0,IF(IF(J236="X",1,IF(J236="P",$B$6,IF(J236="C",$B$7,IF(J236="DR",$B$8,IF(J236="T",$B$9,0)))))=1,1,0))</f>
        <v>0</v>
      </c>
      <c r="L236" s="32" t="str">
        <f aca="false">IF(K236=0,"",IF(LEN(TRIM(Scheda_2!$D$231&amp;""))=0,"MANCANTE",IF(LEFT(LOWER(TRIM(Scheda_2!$D$231&amp;"")),7)="non not","NON NOTO","ok")))</f>
        <v/>
      </c>
    </row>
    <row r="237" customFormat="false" ht="15" hidden="false" customHeight="false" outlineLevel="0" collapsed="false">
      <c r="A237" s="16" t="s">
        <v>697</v>
      </c>
      <c r="B237" s="31" t="s">
        <v>698</v>
      </c>
      <c r="C237" s="16" t="s">
        <v>685</v>
      </c>
      <c r="D237" s="32" t="s">
        <v>795</v>
      </c>
      <c r="E237" s="32"/>
      <c r="F237" s="32"/>
      <c r="G237" s="32" t="s">
        <v>795</v>
      </c>
      <c r="H237" s="32" t="n">
        <f aca="false">IF(Scheda_2!$D$228="Sì",1,0)</f>
        <v>0</v>
      </c>
      <c r="I237" s="32" t="n">
        <v>1</v>
      </c>
      <c r="J237" s="32" t="str">
        <f aca="false">IF($B$5="","",IF($B$5="ORD",D237,IF($B$5="CON",E237,IF($B$5="AGI",F237,G237))))</f>
        <v>X</v>
      </c>
      <c r="K237" s="32" t="n">
        <f aca="false">IF(OR(H237=0,I237=0,J237=""),0,IF(IF(J237="X",1,IF(J237="P",$B$6,IF(J237="C",$B$7,IF(J237="DR",$B$8,IF(J237="T",$B$9,0)))))=1,1,0))</f>
        <v>0</v>
      </c>
      <c r="L237" s="32" t="str">
        <f aca="false">IF(K237=0,"",IF(LEN(TRIM(Scheda_2!$D$232&amp;""))=0,"MANCANTE",IF(LEFT(LOWER(TRIM(Scheda_2!$D$232&amp;"")),7)="non not","NON NOTO","ok")))</f>
        <v/>
      </c>
    </row>
    <row r="238" customFormat="false" ht="15" hidden="false" customHeight="false" outlineLevel="0" collapsed="false">
      <c r="A238" s="16" t="s">
        <v>699</v>
      </c>
      <c r="B238" s="31" t="s">
        <v>700</v>
      </c>
      <c r="C238" s="16" t="s">
        <v>685</v>
      </c>
      <c r="D238" s="32" t="s">
        <v>795</v>
      </c>
      <c r="E238" s="32"/>
      <c r="F238" s="32"/>
      <c r="G238" s="32" t="s">
        <v>795</v>
      </c>
      <c r="H238" s="32" t="n">
        <f aca="false">IF(Scheda_2!$D$228="Sì",1,0)</f>
        <v>0</v>
      </c>
      <c r="I238" s="32" t="n">
        <f aca="false">IF(Scheda_2!$D$232="Sì",1,0)</f>
        <v>0</v>
      </c>
      <c r="J238" s="32" t="str">
        <f aca="false">IF($B$5="","",IF($B$5="ORD",D238,IF($B$5="CON",E238,IF($B$5="AGI",F238,G238))))</f>
        <v>X</v>
      </c>
      <c r="K238" s="32" t="n">
        <f aca="false">IF(OR(H238=0,I238=0,J238=""),0,IF(IF(J238="X",1,IF(J238="P",$B$6,IF(J238="C",$B$7,IF(J238="DR",$B$8,IF(J238="T",$B$9,0)))))=1,1,0))</f>
        <v>0</v>
      </c>
      <c r="L238" s="32" t="str">
        <f aca="false">IF(K238=0,"",IF(LEN(TRIM(Scheda_2!$D$233&amp;""))=0,"MANCANTE",IF(LEFT(LOWER(TRIM(Scheda_2!$D$233&amp;"")),7)="non not","NON NOTO","ok")))</f>
        <v/>
      </c>
    </row>
    <row r="239" customFormat="false" ht="15" hidden="false" customHeight="false" outlineLevel="0" collapsed="false">
      <c r="A239" s="16" t="s">
        <v>704</v>
      </c>
      <c r="B239" s="31" t="s">
        <v>706</v>
      </c>
      <c r="C239" s="16" t="s">
        <v>705</v>
      </c>
      <c r="D239" s="32" t="s">
        <v>795</v>
      </c>
      <c r="E239" s="32" t="s">
        <v>795</v>
      </c>
      <c r="F239" s="32" t="s">
        <v>795</v>
      </c>
      <c r="G239" s="32" t="s">
        <v>795</v>
      </c>
      <c r="H239" s="32" t="n">
        <v>1</v>
      </c>
      <c r="I239" s="32" t="n">
        <v>1</v>
      </c>
      <c r="J239" s="32" t="str">
        <f aca="false">IF($B$5="","",IF($B$5="ORD",D239,IF($B$5="CON",E239,IF($B$5="AGI",F239,G239))))</f>
        <v>X</v>
      </c>
      <c r="K239" s="32" t="n">
        <f aca="false">IF(H239=1,1,0)</f>
        <v>1</v>
      </c>
      <c r="L239" s="32" t="str">
        <f aca="false">IF(K239=0,"",IF(LEN(TRIM(Scheda_2!$D$236&amp;""))=0,"MANCANTE",IF(LEFT(LOWER(TRIM(Scheda_2!$D$236&amp;"")),7)="non not","NON NOTO","ok")))</f>
        <v>ok</v>
      </c>
    </row>
    <row r="240" customFormat="false" ht="15" hidden="false" customHeight="false" outlineLevel="0" collapsed="false">
      <c r="A240" s="16" t="s">
        <v>707</v>
      </c>
      <c r="B240" s="31" t="s">
        <v>708</v>
      </c>
      <c r="C240" s="16" t="s">
        <v>705</v>
      </c>
      <c r="D240" s="32" t="s">
        <v>795</v>
      </c>
      <c r="E240" s="32" t="s">
        <v>795</v>
      </c>
      <c r="F240" s="32"/>
      <c r="G240" s="32" t="s">
        <v>795</v>
      </c>
      <c r="H240" s="32" t="n">
        <f aca="false">IF(Scheda_2!$D$236="Sì",1,0)</f>
        <v>0</v>
      </c>
      <c r="I240" s="32" t="n">
        <v>1</v>
      </c>
      <c r="J240" s="32" t="str">
        <f aca="false">IF($B$5="","",IF($B$5="ORD",D240,IF($B$5="CON",E240,IF($B$5="AGI",F240,G240))))</f>
        <v>X</v>
      </c>
      <c r="K240" s="32" t="n">
        <f aca="false">IF(OR(H240=0,I240=0,J240=""),0,IF(IF(J240="X",1,IF(J240="P",$B$6,IF(J240="C",$B$7,IF(J240="DR",$B$8,IF(J240="T",$B$9,0)))))=1,1,0))</f>
        <v>0</v>
      </c>
      <c r="L240" s="32" t="str">
        <f aca="false">IF(K240=0,"",IF(LEN(TRIM(Scheda_2!$D$237&amp;""))=0,"MANCANTE",IF(LEFT(LOWER(TRIM(Scheda_2!$D$237&amp;"")),7)="non not","NON NOTO","ok")))</f>
        <v/>
      </c>
    </row>
    <row r="241" customFormat="false" ht="15" hidden="false" customHeight="false" outlineLevel="0" collapsed="false">
      <c r="A241" s="16" t="s">
        <v>710</v>
      </c>
      <c r="B241" s="31" t="s">
        <v>711</v>
      </c>
      <c r="C241" s="16" t="s">
        <v>705</v>
      </c>
      <c r="D241" s="32" t="s">
        <v>795</v>
      </c>
      <c r="E241" s="32" t="s">
        <v>795</v>
      </c>
      <c r="F241" s="32"/>
      <c r="G241" s="32" t="s">
        <v>795</v>
      </c>
      <c r="H241" s="32" t="n">
        <f aca="false">IF(Scheda_2!$D$236="Sì",1,0)</f>
        <v>0</v>
      </c>
      <c r="I241" s="32" t="n">
        <v>1</v>
      </c>
      <c r="J241" s="32" t="str">
        <f aca="false">IF($B$5="","",IF($B$5="ORD",D241,IF($B$5="CON",E241,IF($B$5="AGI",F241,G241))))</f>
        <v>X</v>
      </c>
      <c r="K241" s="32" t="n">
        <f aca="false">IF(OR(H241=0,I241=0,J241=""),0,IF(IF(J241="X",1,IF(J241="P",$B$6,IF(J241="C",$B$7,IF(J241="DR",$B$8,IF(J241="T",$B$9,0)))))=1,1,0))</f>
        <v>0</v>
      </c>
      <c r="L241" s="32" t="str">
        <f aca="false">IF(K241=0,"",IF(LEN(TRIM(Scheda_2!$D$238&amp;""))=0,"MANCANTE",IF(LEFT(LOWER(TRIM(Scheda_2!$D$238&amp;"")),7)="non not","NON NOTO","ok")))</f>
        <v/>
      </c>
    </row>
    <row r="242" customFormat="false" ht="15" hidden="false" customHeight="false" outlineLevel="0" collapsed="false">
      <c r="A242" s="16" t="s">
        <v>713</v>
      </c>
      <c r="B242" s="31" t="s">
        <v>714</v>
      </c>
      <c r="C242" s="16" t="s">
        <v>705</v>
      </c>
      <c r="D242" s="32" t="s">
        <v>795</v>
      </c>
      <c r="E242" s="32" t="s">
        <v>795</v>
      </c>
      <c r="F242" s="32"/>
      <c r="G242" s="32" t="s">
        <v>795</v>
      </c>
      <c r="H242" s="32" t="n">
        <f aca="false">IF(Scheda_2!$D$236="Sì",1,0)</f>
        <v>0</v>
      </c>
      <c r="I242" s="32" t="n">
        <v>1</v>
      </c>
      <c r="J242" s="32" t="str">
        <f aca="false">IF($B$5="","",IF($B$5="ORD",D242,IF($B$5="CON",E242,IF($B$5="AGI",F242,G242))))</f>
        <v>X</v>
      </c>
      <c r="K242" s="32" t="n">
        <f aca="false">IF(OR(H242=0,I242=0,J242=""),0,IF(IF(J242="X",1,IF(J242="P",$B$6,IF(J242="C",$B$7,IF(J242="DR",$B$8,IF(J242="T",$B$9,0)))))=1,1,0))</f>
        <v>0</v>
      </c>
      <c r="L242" s="32" t="str">
        <f aca="false">IF(K242=0,"",IF(LEN(TRIM(Scheda_2!$D$239&amp;""))=0,"MANCANTE",IF(LEFT(LOWER(TRIM(Scheda_2!$D$239&amp;"")),7)="non not","NON NOTO","ok")))</f>
        <v/>
      </c>
    </row>
    <row r="243" customFormat="false" ht="15" hidden="false" customHeight="false" outlineLevel="0" collapsed="false">
      <c r="A243" s="16" t="s">
        <v>718</v>
      </c>
      <c r="B243" s="31" t="s">
        <v>720</v>
      </c>
      <c r="C243" s="16" t="s">
        <v>719</v>
      </c>
      <c r="D243" s="32" t="s">
        <v>795</v>
      </c>
      <c r="E243" s="32" t="s">
        <v>795</v>
      </c>
      <c r="F243" s="32" t="s">
        <v>795</v>
      </c>
      <c r="G243" s="32" t="s">
        <v>795</v>
      </c>
      <c r="H243" s="32" t="n">
        <v>1</v>
      </c>
      <c r="I243" s="32" t="n">
        <v>1</v>
      </c>
      <c r="J243" s="32" t="str">
        <f aca="false">IF($B$5="","",IF($B$5="ORD",D243,IF($B$5="CON",E243,IF($B$5="AGI",F243,G243))))</f>
        <v>X</v>
      </c>
      <c r="K243" s="32" t="n">
        <f aca="false">IF(H243=1,1,0)</f>
        <v>1</v>
      </c>
      <c r="L243" s="32" t="str">
        <f aca="false">IF(K243=0,"",IF(LEN(TRIM(Scheda_2!$D$242&amp;""))=0,"MANCANTE",IF(LEFT(LOWER(TRIM(Scheda_2!$D$242&amp;"")),7)="non not","NON NOTO","ok")))</f>
        <v>ok</v>
      </c>
    </row>
    <row r="244" customFormat="false" ht="15" hidden="false" customHeight="false" outlineLevel="0" collapsed="false">
      <c r="A244" s="16" t="s">
        <v>721</v>
      </c>
      <c r="B244" s="31" t="s">
        <v>722</v>
      </c>
      <c r="C244" s="16" t="s">
        <v>719</v>
      </c>
      <c r="D244" s="32" t="s">
        <v>795</v>
      </c>
      <c r="E244" s="32" t="s">
        <v>795</v>
      </c>
      <c r="F244" s="32" t="s">
        <v>795</v>
      </c>
      <c r="G244" s="32" t="s">
        <v>795</v>
      </c>
      <c r="H244" s="32" t="n">
        <f aca="false">IF(Scheda_2!$D$242="Sì",1,0)</f>
        <v>1</v>
      </c>
      <c r="I244" s="32" t="n">
        <v>1</v>
      </c>
      <c r="J244" s="32" t="str">
        <f aca="false">IF($B$5="","",IF($B$5="ORD",D244,IF($B$5="CON",E244,IF($B$5="AGI",F244,G244))))</f>
        <v>X</v>
      </c>
      <c r="K244" s="32" t="n">
        <f aca="false">IF(OR(H244=0,I244=0,J244=""),0,IF(IF(J244="X",1,IF(J244="P",$B$6,IF(J244="C",$B$7,IF(J244="DR",$B$8,IF(J244="T",$B$9,0)))))=1,1,0))</f>
        <v>1</v>
      </c>
      <c r="L244" s="32" t="str">
        <f aca="false">IF(K244=0,"",IF(LEN(TRIM(Scheda_2!$D$243&amp;""))=0,"MANCANTE",IF(LEFT(LOWER(TRIM(Scheda_2!$D$243&amp;"")),7)="non not","NON NOTO","ok")))</f>
        <v>ok</v>
      </c>
    </row>
    <row r="245" customFormat="false" ht="15" hidden="false" customHeight="false" outlineLevel="0" collapsed="false">
      <c r="A245" s="16" t="s">
        <v>724</v>
      </c>
      <c r="B245" s="31" t="s">
        <v>725</v>
      </c>
      <c r="C245" s="16" t="s">
        <v>719</v>
      </c>
      <c r="D245" s="32" t="s">
        <v>795</v>
      </c>
      <c r="E245" s="32" t="s">
        <v>795</v>
      </c>
      <c r="F245" s="32" t="s">
        <v>795</v>
      </c>
      <c r="G245" s="32" t="s">
        <v>795</v>
      </c>
      <c r="H245" s="32" t="n">
        <f aca="false">IF(Scheda_2!$D$242="Sì",1,0)</f>
        <v>1</v>
      </c>
      <c r="I245" s="32" t="n">
        <v>1</v>
      </c>
      <c r="J245" s="32" t="str">
        <f aca="false">IF($B$5="","",IF($B$5="ORD",D245,IF($B$5="CON",E245,IF($B$5="AGI",F245,G245))))</f>
        <v>X</v>
      </c>
      <c r="K245" s="32" t="n">
        <f aca="false">IF(OR(H245=0,I245=0,J245=""),0,IF(IF(J245="X",1,IF(J245="P",$B$6,IF(J245="C",$B$7,IF(J245="DR",$B$8,IF(J245="T",$B$9,0)))))=1,1,0))</f>
        <v>1</v>
      </c>
      <c r="L245" s="32" t="str">
        <f aca="false">IF(K245=0,"",IF(LEN(TRIM(Scheda_2!$D$244&amp;""))=0,"MANCANTE",IF(LEFT(LOWER(TRIM(Scheda_2!$D$244&amp;"")),7)="non not","NON NOTO","ok")))</f>
        <v>ok</v>
      </c>
    </row>
    <row r="246" customFormat="false" ht="15" hidden="false" customHeight="false" outlineLevel="0" collapsed="false">
      <c r="A246" s="16" t="s">
        <v>727</v>
      </c>
      <c r="B246" s="31" t="s">
        <v>728</v>
      </c>
      <c r="C246" s="16" t="s">
        <v>719</v>
      </c>
      <c r="D246" s="32" t="s">
        <v>795</v>
      </c>
      <c r="E246" s="32" t="s">
        <v>795</v>
      </c>
      <c r="F246" s="32" t="s">
        <v>795</v>
      </c>
      <c r="G246" s="32" t="s">
        <v>795</v>
      </c>
      <c r="H246" s="32" t="n">
        <f aca="false">IF(Scheda_2!$D$242="Sì",1,0)</f>
        <v>1</v>
      </c>
      <c r="I246" s="32" t="n">
        <v>1</v>
      </c>
      <c r="J246" s="32" t="str">
        <f aca="false">IF($B$5="","",IF($B$5="ORD",D246,IF($B$5="CON",E246,IF($B$5="AGI",F246,G246))))</f>
        <v>X</v>
      </c>
      <c r="K246" s="32" t="n">
        <f aca="false">IF(OR(H246=0,I246=0,J246=""),0,IF(IF(J246="X",1,IF(J246="P",$B$6,IF(J246="C",$B$7,IF(J246="DR",$B$8,IF(J246="T",$B$9,0)))))=1,1,0))</f>
        <v>1</v>
      </c>
      <c r="L246" s="32" t="str">
        <f aca="false">IF(K246=0,"",IF(LEN(TRIM(Scheda_2!$D$245&amp;""))=0,"MANCANTE",IF(LEFT(LOWER(TRIM(Scheda_2!$D$245&amp;"")),7)="non not","NON NOTO","ok")))</f>
        <v>ok</v>
      </c>
    </row>
    <row r="247" customFormat="false" ht="15" hidden="false" customHeight="false" outlineLevel="0" collapsed="false">
      <c r="A247" s="16" t="s">
        <v>730</v>
      </c>
      <c r="B247" s="31" t="s">
        <v>731</v>
      </c>
      <c r="C247" s="16" t="s">
        <v>719</v>
      </c>
      <c r="D247" s="32" t="s">
        <v>795</v>
      </c>
      <c r="E247" s="32" t="s">
        <v>795</v>
      </c>
      <c r="F247" s="32" t="s">
        <v>795</v>
      </c>
      <c r="G247" s="32" t="s">
        <v>795</v>
      </c>
      <c r="H247" s="32" t="n">
        <f aca="false">IF(Scheda_2!$D$242="Sì",1,0)</f>
        <v>1</v>
      </c>
      <c r="I247" s="32" t="n">
        <v>1</v>
      </c>
      <c r="J247" s="32" t="str">
        <f aca="false">IF($B$5="","",IF($B$5="ORD",D247,IF($B$5="CON",E247,IF($B$5="AGI",F247,G247))))</f>
        <v>X</v>
      </c>
      <c r="K247" s="32" t="n">
        <f aca="false">IF(OR(H247=0,I247=0,J247=""),0,IF(IF(J247="X",1,IF(J247="P",$B$6,IF(J247="C",$B$7,IF(J247="DR",$B$8,IF(J247="T",$B$9,0)))))=1,1,0))</f>
        <v>1</v>
      </c>
      <c r="L247" s="32" t="str">
        <f aca="false">IF(K247=0,"",IF(LEN(TRIM(Scheda_2!$D$246&amp;""))=0,"MANCANTE",IF(LEFT(LOWER(TRIM(Scheda_2!$D$246&amp;"")),7)="non not","NON NOTO","ok")))</f>
        <v>ok</v>
      </c>
    </row>
    <row r="248" customFormat="false" ht="15" hidden="false" customHeight="false" outlineLevel="0" collapsed="false">
      <c r="A248" s="16" t="s">
        <v>733</v>
      </c>
      <c r="B248" s="31" t="s">
        <v>734</v>
      </c>
      <c r="C248" s="16" t="s">
        <v>719</v>
      </c>
      <c r="D248" s="32" t="s">
        <v>795</v>
      </c>
      <c r="E248" s="32" t="s">
        <v>795</v>
      </c>
      <c r="F248" s="32" t="s">
        <v>795</v>
      </c>
      <c r="G248" s="32" t="s">
        <v>795</v>
      </c>
      <c r="H248" s="32" t="n">
        <f aca="false">IF(Scheda_2!$D$242="Sì",1,0)</f>
        <v>1</v>
      </c>
      <c r="I248" s="32" t="n">
        <v>1</v>
      </c>
      <c r="J248" s="32" t="str">
        <f aca="false">IF($B$5="","",IF($B$5="ORD",D248,IF($B$5="CON",E248,IF($B$5="AGI",F248,G248))))</f>
        <v>X</v>
      </c>
      <c r="K248" s="32" t="n">
        <f aca="false">IF(OR(H248=0,I248=0,J248=""),0,IF(IF(J248="X",1,IF(J248="P",$B$6,IF(J248="C",$B$7,IF(J248="DR",$B$8,IF(J248="T",$B$9,0)))))=1,1,0))</f>
        <v>1</v>
      </c>
      <c r="L248" s="32" t="str">
        <f aca="false">IF(K248=0,"",IF(LEN(TRIM(Scheda_2!$D$247&amp;""))=0,"MANCANTE",IF(LEFT(LOWER(TRIM(Scheda_2!$D$247&amp;"")),7)="non not","NON NOTO","ok")))</f>
        <v>ok</v>
      </c>
    </row>
    <row r="249" customFormat="false" ht="15" hidden="false" customHeight="false" outlineLevel="0" collapsed="false">
      <c r="A249" s="16" t="s">
        <v>736</v>
      </c>
      <c r="B249" s="31" t="s">
        <v>737</v>
      </c>
      <c r="C249" s="16" t="s">
        <v>719</v>
      </c>
      <c r="D249" s="32" t="s">
        <v>795</v>
      </c>
      <c r="E249" s="32" t="s">
        <v>795</v>
      </c>
      <c r="F249" s="32" t="s">
        <v>795</v>
      </c>
      <c r="G249" s="32" t="s">
        <v>795</v>
      </c>
      <c r="H249" s="32" t="n">
        <f aca="false">IF(Scheda_2!$D$242="Sì",1,0)</f>
        <v>1</v>
      </c>
      <c r="I249" s="32" t="n">
        <v>1</v>
      </c>
      <c r="J249" s="32" t="str">
        <f aca="false">IF($B$5="","",IF($B$5="ORD",D249,IF($B$5="CON",E249,IF($B$5="AGI",F249,G249))))</f>
        <v>X</v>
      </c>
      <c r="K249" s="32" t="n">
        <f aca="false">IF(OR(H249=0,I249=0,J249=""),0,IF(IF(J249="X",1,IF(J249="P",$B$6,IF(J249="C",$B$7,IF(J249="DR",$B$8,IF(J249="T",$B$9,0)))))=1,1,0))</f>
        <v>1</v>
      </c>
      <c r="L249" s="32" t="str">
        <f aca="false">IF(K249=0,"",IF(LEN(TRIM(Scheda_2!$D$248&amp;""))=0,"MANCANTE",IF(LEFT(LOWER(TRIM(Scheda_2!$D$248&amp;"")),7)="non not","NON NOTO","ok")))</f>
        <v>MANCANTE</v>
      </c>
    </row>
    <row r="250" customFormat="false" ht="15" hidden="false" customHeight="false" outlineLevel="0" collapsed="false">
      <c r="A250" s="16" t="s">
        <v>739</v>
      </c>
      <c r="B250" s="31" t="s">
        <v>740</v>
      </c>
      <c r="C250" s="16" t="s">
        <v>719</v>
      </c>
      <c r="D250" s="32" t="s">
        <v>795</v>
      </c>
      <c r="E250" s="32" t="s">
        <v>795</v>
      </c>
      <c r="F250" s="32" t="s">
        <v>795</v>
      </c>
      <c r="G250" s="32" t="s">
        <v>795</v>
      </c>
      <c r="H250" s="32" t="n">
        <f aca="false">IF(Scheda_2!$D$242="Sì",1,0)</f>
        <v>1</v>
      </c>
      <c r="I250" s="32" t="n">
        <v>1</v>
      </c>
      <c r="J250" s="32" t="str">
        <f aca="false">IF($B$5="","",IF($B$5="ORD",D250,IF($B$5="CON",E250,IF($B$5="AGI",F250,G250))))</f>
        <v>X</v>
      </c>
      <c r="K250" s="32" t="n">
        <f aca="false">IF(OR(H250=0,I250=0,J250=""),0,IF(IF(J250="X",1,IF(J250="P",$B$6,IF(J250="C",$B$7,IF(J250="DR",$B$8,IF(J250="T",$B$9,0)))))=1,1,0))</f>
        <v>1</v>
      </c>
      <c r="L250" s="32" t="str">
        <f aca="false">IF(K250=0,"",IF(LEN(TRIM(Scheda_2!$D$249&amp;""))=0,"MANCANTE",IF(LEFT(LOWER(TRIM(Scheda_2!$D$249&amp;"")),7)="non not","NON NOTO","ok")))</f>
        <v>ok</v>
      </c>
    </row>
    <row r="251" customFormat="false" ht="15" hidden="false" customHeight="false" outlineLevel="0" collapsed="false">
      <c r="A251" s="16" t="s">
        <v>742</v>
      </c>
      <c r="B251" s="31" t="s">
        <v>743</v>
      </c>
      <c r="C251" s="16" t="s">
        <v>719</v>
      </c>
      <c r="D251" s="32" t="s">
        <v>795</v>
      </c>
      <c r="E251" s="32" t="s">
        <v>795</v>
      </c>
      <c r="F251" s="32" t="s">
        <v>795</v>
      </c>
      <c r="G251" s="32" t="s">
        <v>795</v>
      </c>
      <c r="H251" s="32" t="n">
        <f aca="false">IF(Scheda_2!$D$242="Sì",1,0)</f>
        <v>1</v>
      </c>
      <c r="I251" s="32" t="n">
        <v>1</v>
      </c>
      <c r="J251" s="32" t="str">
        <f aca="false">IF($B$5="","",IF($B$5="ORD",D251,IF($B$5="CON",E251,IF($B$5="AGI",F251,G251))))</f>
        <v>X</v>
      </c>
      <c r="K251" s="32" t="n">
        <f aca="false">IF(OR(H251=0,I251=0,J251=""),0,IF(IF(J251="X",1,IF(J251="P",$B$6,IF(J251="C",$B$7,IF(J251="DR",$B$8,IF(J251="T",$B$9,0)))))=1,1,0))</f>
        <v>1</v>
      </c>
      <c r="L251" s="32" t="str">
        <f aca="false">IF(K251=0,"",IF(LEN(TRIM(Scheda_2!$D$250&amp;""))=0,"MANCANTE",IF(LEFT(LOWER(TRIM(Scheda_2!$D$250&amp;"")),7)="non not","NON NOTO","ok")))</f>
        <v>ok</v>
      </c>
    </row>
    <row r="252" customFormat="false" ht="15" hidden="false" customHeight="false" outlineLevel="0" collapsed="false">
      <c r="A252" s="16" t="s">
        <v>745</v>
      </c>
      <c r="B252" s="31" t="s">
        <v>746</v>
      </c>
      <c r="C252" s="16" t="s">
        <v>719</v>
      </c>
      <c r="D252" s="32" t="s">
        <v>795</v>
      </c>
      <c r="E252" s="32" t="s">
        <v>795</v>
      </c>
      <c r="F252" s="32" t="s">
        <v>795</v>
      </c>
      <c r="G252" s="32" t="s">
        <v>795</v>
      </c>
      <c r="H252" s="32" t="n">
        <f aca="false">IF(Scheda_2!$D$242="Sì",1,0)</f>
        <v>1</v>
      </c>
      <c r="I252" s="32" t="n">
        <v>1</v>
      </c>
      <c r="J252" s="32" t="str">
        <f aca="false">IF($B$5="","",IF($B$5="ORD",D252,IF($B$5="CON",E252,IF($B$5="AGI",F252,G252))))</f>
        <v>X</v>
      </c>
      <c r="K252" s="32" t="n">
        <f aca="false">IF(OR(H252=0,I252=0,J252=""),0,IF(IF(J252="X",1,IF(J252="P",$B$6,IF(J252="C",$B$7,IF(J252="DR",$B$8,IF(J252="T",$B$9,0)))))=1,1,0))</f>
        <v>1</v>
      </c>
      <c r="L252" s="32" t="str">
        <f aca="false">IF(K252=0,"",IF(LEN(TRIM(Scheda_2!$D$251&amp;""))=0,"MANCANTE",IF(LEFT(LOWER(TRIM(Scheda_2!$D$251&amp;"")),7)="non not","NON NOTO","ok")))</f>
        <v>ok</v>
      </c>
    </row>
    <row r="253" customFormat="false" ht="15" hidden="false" customHeight="false" outlineLevel="0" collapsed="false">
      <c r="A253" s="16" t="s">
        <v>748</v>
      </c>
      <c r="B253" s="31" t="s">
        <v>749</v>
      </c>
      <c r="C253" s="16" t="s">
        <v>719</v>
      </c>
      <c r="D253" s="32" t="s">
        <v>795</v>
      </c>
      <c r="E253" s="32" t="s">
        <v>795</v>
      </c>
      <c r="F253" s="32" t="s">
        <v>795</v>
      </c>
      <c r="G253" s="32" t="s">
        <v>795</v>
      </c>
      <c r="H253" s="32" t="n">
        <f aca="false">IF(Scheda_2!$D$242="Sì",1,0)</f>
        <v>1</v>
      </c>
      <c r="I253" s="32" t="n">
        <v>1</v>
      </c>
      <c r="J253" s="32" t="str">
        <f aca="false">IF($B$5="","",IF($B$5="ORD",D253,IF($B$5="CON",E253,IF($B$5="AGI",F253,G253))))</f>
        <v>X</v>
      </c>
      <c r="K253" s="32" t="n">
        <f aca="false">IF(OR(H253=0,I253=0,J253=""),0,IF(IF(J253="X",1,IF(J253="P",$B$6,IF(J253="C",$B$7,IF(J253="DR",$B$8,IF(J253="T",$B$9,0)))))=1,1,0))</f>
        <v>1</v>
      </c>
      <c r="L253" s="32" t="str">
        <f aca="false">IF(K253=0,"",IF(LEN(TRIM(Scheda_2!$D$252&amp;""))=0,"MANCANTE",IF(LEFT(LOWER(TRIM(Scheda_2!$D$252&amp;"")),7)="non not","NON NOTO","ok")))</f>
        <v>ok</v>
      </c>
    </row>
  </sheetData>
  <mergeCells count="13">
    <mergeCell ref="B17:L17"/>
    <mergeCell ref="B18:L18"/>
    <mergeCell ref="B19:L19"/>
    <mergeCell ref="B20:L20"/>
    <mergeCell ref="B21:L21"/>
    <mergeCell ref="B22:L22"/>
    <mergeCell ref="B23:L23"/>
    <mergeCell ref="B24:L24"/>
    <mergeCell ref="B25:L25"/>
    <mergeCell ref="B26:L26"/>
    <mergeCell ref="B27:L27"/>
    <mergeCell ref="B28:L28"/>
    <mergeCell ref="B29:L29"/>
  </mergeCells>
  <conditionalFormatting sqref="B13">
    <cfRule type="expression" priority="2" aboveAverage="0" equalAverage="0" bottom="0" percent="0" rank="0" text="" dxfId="5">
      <formula>$B$13&gt;0</formula>
    </cfRule>
    <cfRule type="expression" priority="3" aboveAverage="0" equalAverage="0" bottom="0" percent="0" rank="0" text="" dxfId="6">
      <formula>$B$13=0</formula>
    </cfRule>
  </conditionalFormatting>
  <conditionalFormatting sqref="B17:L29">
    <cfRule type="expression" priority="4" aboveAverage="0" equalAverage="0" bottom="0" percent="0" rank="0" text="" dxfId="7">
      <formula>LEFT($B17,10)="ATTENZIONE"</formula>
    </cfRule>
  </conditionalFormatting>
  <conditionalFormatting sqref="A33:L253">
    <cfRule type="expression" priority="5" aboveAverage="0" equalAverage="0" bottom="0" percent="0" rank="0" text="" dxfId="1">
      <formula>$L33="MANCANTE"</formula>
    </cfRule>
    <cfRule type="expression" priority="6" aboveAverage="0" equalAverage="0" bottom="0" percent="0" rank="0" text="" dxfId="2">
      <formula>$L33="NON NOTO"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3"/>
    <col collapsed="false" customWidth="true" hidden="false" outlineLevel="0" max="4" min="4" style="0" width="52"/>
    <col collapsed="false" customWidth="true" hidden="false" outlineLevel="0" max="8" min="5" style="0" width="14"/>
    <col collapsed="false" customWidth="true" hidden="false" outlineLevel="0" max="9" min="9" style="0" width="3"/>
    <col collapsed="false" customWidth="true" hidden="false" outlineLevel="0" max="10" min="10" style="0" width="62"/>
    <col collapsed="false" customWidth="true" hidden="false" outlineLevel="0" max="11" min="11" style="0" width="8"/>
    <col collapsed="false" customWidth="true" hidden="false" outlineLevel="0" max="12" min="12" style="0" width="18"/>
    <col collapsed="false" customWidth="true" hidden="false" outlineLevel="0" max="13" min="13" style="0" width="28"/>
    <col collapsed="false" customWidth="true" hidden="false" outlineLevel="0" max="14" min="14" style="0" width="14"/>
    <col collapsed="false" customWidth="true" hidden="false" outlineLevel="0" max="16" min="15" style="0" width="3"/>
    <col collapsed="false" customWidth="true" hidden="false" outlineLevel="0" max="49" min="17" style="0" width="30"/>
  </cols>
  <sheetData>
    <row r="1" customFormat="false" ht="42" hidden="false" customHeight="true" outlineLevel="0" collapsed="false">
      <c r="A1" s="13" t="s">
        <v>78</v>
      </c>
      <c r="B1" s="13" t="s">
        <v>817</v>
      </c>
      <c r="D1" s="13" t="s">
        <v>818</v>
      </c>
      <c r="E1" s="13" t="s">
        <v>819</v>
      </c>
      <c r="F1" s="13" t="s">
        <v>820</v>
      </c>
      <c r="G1" s="13" t="s">
        <v>821</v>
      </c>
      <c r="H1" s="13" t="s">
        <v>822</v>
      </c>
      <c r="J1" s="13" t="s">
        <v>102</v>
      </c>
      <c r="K1" s="13" t="s">
        <v>823</v>
      </c>
      <c r="L1" s="13" t="s">
        <v>824</v>
      </c>
      <c r="M1" s="13" t="s">
        <v>825</v>
      </c>
      <c r="N1" s="13" t="s">
        <v>826</v>
      </c>
      <c r="Q1" s="13" t="s">
        <v>827</v>
      </c>
      <c r="R1" s="13" t="s">
        <v>828</v>
      </c>
      <c r="S1" s="13" t="s">
        <v>829</v>
      </c>
      <c r="T1" s="13" t="s">
        <v>830</v>
      </c>
      <c r="U1" s="13" t="s">
        <v>831</v>
      </c>
      <c r="V1" s="13" t="s">
        <v>832</v>
      </c>
      <c r="W1" s="13" t="s">
        <v>833</v>
      </c>
      <c r="X1" s="13" t="s">
        <v>834</v>
      </c>
      <c r="Y1" s="13" t="s">
        <v>835</v>
      </c>
      <c r="Z1" s="13" t="s">
        <v>836</v>
      </c>
      <c r="AA1" s="13" t="s">
        <v>837</v>
      </c>
      <c r="AB1" s="13" t="s">
        <v>838</v>
      </c>
      <c r="AC1" s="13" t="s">
        <v>839</v>
      </c>
      <c r="AD1" s="13" t="s">
        <v>840</v>
      </c>
      <c r="AE1" s="13" t="s">
        <v>841</v>
      </c>
      <c r="AF1" s="13" t="s">
        <v>842</v>
      </c>
      <c r="AG1" s="13" t="s">
        <v>843</v>
      </c>
      <c r="AH1" s="13" t="s">
        <v>844</v>
      </c>
      <c r="AI1" s="13" t="s">
        <v>845</v>
      </c>
      <c r="AJ1" s="13" t="s">
        <v>846</v>
      </c>
      <c r="AK1" s="13" t="s">
        <v>847</v>
      </c>
      <c r="AL1" s="13" t="s">
        <v>848</v>
      </c>
      <c r="AM1" s="13" t="s">
        <v>849</v>
      </c>
      <c r="AN1" s="13" t="s">
        <v>850</v>
      </c>
      <c r="AO1" s="13" t="s">
        <v>851</v>
      </c>
      <c r="AP1" s="13" t="s">
        <v>852</v>
      </c>
      <c r="AQ1" s="13" t="s">
        <v>853</v>
      </c>
      <c r="AR1" s="13" t="s">
        <v>854</v>
      </c>
      <c r="AS1" s="13" t="s">
        <v>855</v>
      </c>
      <c r="AT1" s="13" t="s">
        <v>856</v>
      </c>
      <c r="AU1" s="13" t="s">
        <v>857</v>
      </c>
      <c r="AV1" s="13" t="s">
        <v>858</v>
      </c>
      <c r="AW1" s="13" t="s">
        <v>859</v>
      </c>
    </row>
    <row r="2" customFormat="false" ht="15" hidden="false" customHeight="false" outlineLevel="0" collapsed="false">
      <c r="A2" s="0" t="s">
        <v>860</v>
      </c>
      <c r="B2" s="0" t="s">
        <v>787</v>
      </c>
      <c r="D2" s="0" t="s">
        <v>861</v>
      </c>
      <c r="E2" s="0" t="n">
        <v>0</v>
      </c>
      <c r="F2" s="0" t="n">
        <v>0</v>
      </c>
      <c r="G2" s="0" t="n">
        <v>0</v>
      </c>
      <c r="H2" s="0" t="n">
        <v>0</v>
      </c>
      <c r="J2" s="0" t="s">
        <v>862</v>
      </c>
      <c r="K2" s="0" t="s">
        <v>863</v>
      </c>
      <c r="L2" s="0" t="s">
        <v>864</v>
      </c>
      <c r="M2" s="0" t="s">
        <v>864</v>
      </c>
      <c r="N2" s="0" t="n">
        <v>1</v>
      </c>
      <c r="Q2" s="0" t="s">
        <v>379</v>
      </c>
      <c r="R2" s="0" t="s">
        <v>379</v>
      </c>
      <c r="S2" s="0" t="s">
        <v>865</v>
      </c>
      <c r="T2" s="0" t="s">
        <v>866</v>
      </c>
      <c r="U2" s="0" t="s">
        <v>168</v>
      </c>
      <c r="V2" s="0" t="s">
        <v>867</v>
      </c>
      <c r="W2" s="0" t="s">
        <v>868</v>
      </c>
      <c r="X2" s="0" t="s">
        <v>807</v>
      </c>
      <c r="Y2" s="0" t="s">
        <v>869</v>
      </c>
      <c r="Z2" s="0" t="s">
        <v>157</v>
      </c>
      <c r="AA2" s="0" t="s">
        <v>870</v>
      </c>
      <c r="AB2" s="0" t="s">
        <v>197</v>
      </c>
      <c r="AC2" s="0" t="s">
        <v>871</v>
      </c>
      <c r="AD2" s="0" t="s">
        <v>213</v>
      </c>
      <c r="AE2" s="0" t="s">
        <v>872</v>
      </c>
      <c r="AF2" s="0" t="s">
        <v>873</v>
      </c>
      <c r="AG2" s="0" t="s">
        <v>371</v>
      </c>
      <c r="AH2" s="0" t="s">
        <v>874</v>
      </c>
      <c r="AI2" s="0" t="s">
        <v>875</v>
      </c>
      <c r="AJ2" s="0" t="s">
        <v>876</v>
      </c>
      <c r="AK2" s="0" t="s">
        <v>877</v>
      </c>
      <c r="AL2" s="0" t="s">
        <v>878</v>
      </c>
      <c r="AM2" s="0" t="s">
        <v>879</v>
      </c>
      <c r="AN2" s="0" t="s">
        <v>880</v>
      </c>
      <c r="AO2" s="0" t="s">
        <v>881</v>
      </c>
      <c r="AP2" s="0" t="s">
        <v>882</v>
      </c>
      <c r="AQ2" s="0" t="s">
        <v>883</v>
      </c>
      <c r="AR2" s="0" t="s">
        <v>884</v>
      </c>
      <c r="AS2" s="0" t="s">
        <v>885</v>
      </c>
      <c r="AT2" s="0" t="s">
        <v>886</v>
      </c>
      <c r="AU2" s="0" t="s">
        <v>815</v>
      </c>
      <c r="AV2" s="0" t="s">
        <v>861</v>
      </c>
      <c r="AW2" s="0" t="s">
        <v>379</v>
      </c>
    </row>
    <row r="3" customFormat="false" ht="15" hidden="false" customHeight="false" outlineLevel="0" collapsed="false">
      <c r="A3" s="0" t="s">
        <v>79</v>
      </c>
      <c r="B3" s="0" t="s">
        <v>787</v>
      </c>
      <c r="D3" s="0" t="s">
        <v>803</v>
      </c>
      <c r="E3" s="0" t="n">
        <v>0</v>
      </c>
      <c r="F3" s="0" t="n">
        <v>0</v>
      </c>
      <c r="G3" s="0" t="n">
        <v>0</v>
      </c>
      <c r="H3" s="0" t="n">
        <v>0</v>
      </c>
      <c r="J3" s="0" t="s">
        <v>887</v>
      </c>
      <c r="K3" s="0" t="s">
        <v>888</v>
      </c>
      <c r="L3" s="0" t="s">
        <v>864</v>
      </c>
      <c r="M3" s="0" t="s">
        <v>864</v>
      </c>
      <c r="N3" s="0" t="n">
        <v>1</v>
      </c>
      <c r="Q3" s="0" t="s">
        <v>125</v>
      </c>
      <c r="R3" s="0" t="s">
        <v>125</v>
      </c>
      <c r="S3" s="0" t="s">
        <v>889</v>
      </c>
      <c r="T3" s="0" t="s">
        <v>806</v>
      </c>
      <c r="U3" s="0" t="s">
        <v>890</v>
      </c>
      <c r="V3" s="0" t="s">
        <v>891</v>
      </c>
      <c r="W3" s="0" t="s">
        <v>892</v>
      </c>
      <c r="X3" s="0" t="s">
        <v>893</v>
      </c>
      <c r="Y3" s="0" t="s">
        <v>894</v>
      </c>
      <c r="Z3" s="0" t="s">
        <v>895</v>
      </c>
      <c r="AA3" s="0" t="s">
        <v>896</v>
      </c>
      <c r="AB3" s="0" t="s">
        <v>897</v>
      </c>
      <c r="AC3" s="0" t="s">
        <v>812</v>
      </c>
      <c r="AD3" s="0" t="s">
        <v>813</v>
      </c>
      <c r="AE3" s="0" t="s">
        <v>814</v>
      </c>
      <c r="AF3" s="0" t="s">
        <v>898</v>
      </c>
      <c r="AG3" s="0" t="s">
        <v>899</v>
      </c>
      <c r="AH3" s="0" t="s">
        <v>900</v>
      </c>
      <c r="AI3" s="0" t="s">
        <v>901</v>
      </c>
      <c r="AJ3" s="0" t="s">
        <v>902</v>
      </c>
      <c r="AK3" s="0" t="s">
        <v>903</v>
      </c>
      <c r="AL3" s="0" t="s">
        <v>904</v>
      </c>
      <c r="AM3" s="0" t="s">
        <v>905</v>
      </c>
      <c r="AN3" s="0" t="s">
        <v>906</v>
      </c>
      <c r="AO3" s="0" t="s">
        <v>907</v>
      </c>
      <c r="AP3" s="0" t="s">
        <v>908</v>
      </c>
      <c r="AQ3" s="0" t="s">
        <v>909</v>
      </c>
      <c r="AR3" s="0" t="s">
        <v>910</v>
      </c>
      <c r="AS3" s="0" t="s">
        <v>911</v>
      </c>
      <c r="AT3" s="0" t="s">
        <v>912</v>
      </c>
      <c r="AU3" s="0" t="s">
        <v>913</v>
      </c>
      <c r="AV3" s="0" t="s">
        <v>803</v>
      </c>
      <c r="AW3" s="0" t="s">
        <v>125</v>
      </c>
    </row>
    <row r="4" customFormat="false" ht="15" hidden="false" customHeight="false" outlineLevel="0" collapsed="false">
      <c r="A4" s="0" t="s">
        <v>914</v>
      </c>
      <c r="B4" s="0" t="s">
        <v>787</v>
      </c>
      <c r="D4" s="0" t="s">
        <v>915</v>
      </c>
      <c r="E4" s="0" t="n">
        <v>0</v>
      </c>
      <c r="F4" s="0" t="n">
        <v>0</v>
      </c>
      <c r="G4" s="0" t="n">
        <v>0</v>
      </c>
      <c r="H4" s="0" t="n">
        <v>0</v>
      </c>
      <c r="J4" s="0" t="s">
        <v>916</v>
      </c>
      <c r="K4" s="0" t="s">
        <v>917</v>
      </c>
      <c r="L4" s="0" t="s">
        <v>864</v>
      </c>
      <c r="M4" s="0" t="s">
        <v>864</v>
      </c>
      <c r="N4" s="0" t="n">
        <v>1</v>
      </c>
      <c r="Q4" s="0" t="s">
        <v>810</v>
      </c>
      <c r="R4" s="0" t="s">
        <v>918</v>
      </c>
      <c r="S4" s="0" t="s">
        <v>416</v>
      </c>
      <c r="T4" s="0" t="s">
        <v>919</v>
      </c>
      <c r="U4" s="0" t="s">
        <v>809</v>
      </c>
      <c r="V4" s="0" t="s">
        <v>125</v>
      </c>
      <c r="W4" s="0" t="s">
        <v>920</v>
      </c>
      <c r="X4" s="0" t="s">
        <v>121</v>
      </c>
      <c r="Y4" s="0" t="s">
        <v>921</v>
      </c>
      <c r="Z4" s="0" t="s">
        <v>808</v>
      </c>
      <c r="AA4" s="0" t="s">
        <v>922</v>
      </c>
      <c r="AB4" s="0" t="s">
        <v>923</v>
      </c>
      <c r="AC4" s="0" t="s">
        <v>206</v>
      </c>
      <c r="AE4" s="0" t="s">
        <v>924</v>
      </c>
      <c r="AF4" s="0" t="s">
        <v>925</v>
      </c>
      <c r="AG4" s="0" t="s">
        <v>926</v>
      </c>
      <c r="AH4" s="0" t="s">
        <v>383</v>
      </c>
      <c r="AI4" s="0" t="s">
        <v>927</v>
      </c>
      <c r="AJ4" s="0" t="s">
        <v>928</v>
      </c>
      <c r="AK4" s="0" t="s">
        <v>929</v>
      </c>
      <c r="AL4" s="0" t="s">
        <v>125</v>
      </c>
      <c r="AM4" s="0" t="s">
        <v>930</v>
      </c>
      <c r="AN4" s="0" t="s">
        <v>931</v>
      </c>
      <c r="AO4" s="0" t="s">
        <v>932</v>
      </c>
      <c r="AP4" s="0" t="s">
        <v>933</v>
      </c>
      <c r="AQ4" s="0" t="s">
        <v>934</v>
      </c>
      <c r="AR4" s="0" t="s">
        <v>935</v>
      </c>
      <c r="AS4" s="0" t="s">
        <v>810</v>
      </c>
      <c r="AT4" s="0" t="s">
        <v>936</v>
      </c>
      <c r="AV4" s="0" t="s">
        <v>937</v>
      </c>
    </row>
    <row r="5" customFormat="false" ht="15" hidden="false" customHeight="false" outlineLevel="0" collapsed="false">
      <c r="A5" s="0" t="s">
        <v>802</v>
      </c>
      <c r="B5" s="0" t="s">
        <v>787</v>
      </c>
      <c r="D5" s="0" t="s">
        <v>938</v>
      </c>
      <c r="E5" s="0" t="n">
        <v>1</v>
      </c>
      <c r="F5" s="0" t="n">
        <v>1</v>
      </c>
      <c r="G5" s="0" t="n">
        <v>0</v>
      </c>
      <c r="H5" s="0" t="n">
        <v>0</v>
      </c>
      <c r="J5" s="0" t="s">
        <v>939</v>
      </c>
      <c r="K5" s="0" t="s">
        <v>940</v>
      </c>
      <c r="L5" s="0" t="s">
        <v>864</v>
      </c>
      <c r="M5" s="0" t="s">
        <v>864</v>
      </c>
      <c r="N5" s="0" t="n">
        <v>1</v>
      </c>
      <c r="R5" s="0" t="s">
        <v>810</v>
      </c>
      <c r="S5" s="0" t="s">
        <v>810</v>
      </c>
      <c r="T5" s="0" t="s">
        <v>797</v>
      </c>
      <c r="U5" s="0" t="s">
        <v>941</v>
      </c>
      <c r="V5" s="0" t="s">
        <v>810</v>
      </c>
      <c r="W5" s="0" t="s">
        <v>117</v>
      </c>
      <c r="X5" s="0" t="s">
        <v>810</v>
      </c>
      <c r="Y5" s="0" t="s">
        <v>942</v>
      </c>
      <c r="Z5" s="0" t="s">
        <v>810</v>
      </c>
      <c r="AB5" s="0" t="s">
        <v>943</v>
      </c>
      <c r="AC5" s="0" t="s">
        <v>944</v>
      </c>
      <c r="AE5" s="0" t="s">
        <v>945</v>
      </c>
      <c r="AF5" s="0" t="s">
        <v>946</v>
      </c>
      <c r="AG5" s="0" t="s">
        <v>947</v>
      </c>
      <c r="AH5" s="0" t="s">
        <v>387</v>
      </c>
      <c r="AI5" s="0" t="s">
        <v>948</v>
      </c>
      <c r="AJ5" s="0" t="s">
        <v>949</v>
      </c>
      <c r="AM5" s="0" t="s">
        <v>950</v>
      </c>
      <c r="AN5" s="0" t="s">
        <v>936</v>
      </c>
      <c r="AO5" s="0" t="s">
        <v>951</v>
      </c>
      <c r="AP5" s="0" t="s">
        <v>952</v>
      </c>
      <c r="AR5" s="0" t="s">
        <v>416</v>
      </c>
      <c r="AV5" s="0" t="s">
        <v>915</v>
      </c>
    </row>
    <row r="6" customFormat="false" ht="15" hidden="false" customHeight="false" outlineLevel="0" collapsed="false">
      <c r="A6" s="0" t="s">
        <v>659</v>
      </c>
      <c r="B6" s="0" t="s">
        <v>787</v>
      </c>
      <c r="D6" s="0" t="s">
        <v>953</v>
      </c>
      <c r="E6" s="0" t="n">
        <v>1</v>
      </c>
      <c r="F6" s="0" t="n">
        <v>1</v>
      </c>
      <c r="G6" s="0" t="n">
        <v>1</v>
      </c>
      <c r="H6" s="0" t="n">
        <v>0</v>
      </c>
      <c r="J6" s="0" t="s">
        <v>954</v>
      </c>
      <c r="K6" s="0" t="s">
        <v>955</v>
      </c>
      <c r="L6" s="0" t="s">
        <v>864</v>
      </c>
      <c r="M6" s="0" t="s">
        <v>864</v>
      </c>
      <c r="N6" s="0" t="n">
        <v>1</v>
      </c>
      <c r="T6" s="0" t="s">
        <v>956</v>
      </c>
      <c r="U6" s="0" t="s">
        <v>957</v>
      </c>
      <c r="W6" s="0" t="s">
        <v>810</v>
      </c>
      <c r="Y6" s="0" t="s">
        <v>958</v>
      </c>
      <c r="AB6" s="0" t="s">
        <v>811</v>
      </c>
      <c r="AE6" s="0" t="s">
        <v>959</v>
      </c>
      <c r="AF6" s="0" t="s">
        <v>869</v>
      </c>
      <c r="AH6" s="0" t="s">
        <v>960</v>
      </c>
      <c r="AJ6" s="0" t="s">
        <v>961</v>
      </c>
      <c r="AM6" s="0" t="s">
        <v>936</v>
      </c>
      <c r="AO6" s="0" t="s">
        <v>962</v>
      </c>
      <c r="AP6" s="0" t="s">
        <v>963</v>
      </c>
      <c r="AR6" s="0" t="s">
        <v>810</v>
      </c>
      <c r="AV6" s="0" t="s">
        <v>964</v>
      </c>
    </row>
    <row r="7" customFormat="false" ht="15" hidden="false" customHeight="false" outlineLevel="0" collapsed="false">
      <c r="A7" s="0" t="s">
        <v>965</v>
      </c>
      <c r="B7" s="0" t="s">
        <v>788</v>
      </c>
      <c r="D7" s="0" t="s">
        <v>966</v>
      </c>
      <c r="E7" s="0" t="n">
        <v>1</v>
      </c>
      <c r="F7" s="0" t="n">
        <v>1</v>
      </c>
      <c r="G7" s="0" t="n">
        <v>0</v>
      </c>
      <c r="H7" s="0" t="n">
        <v>0</v>
      </c>
      <c r="J7" s="0" t="s">
        <v>967</v>
      </c>
      <c r="K7" s="0" t="s">
        <v>968</v>
      </c>
      <c r="L7" s="0" t="s">
        <v>864</v>
      </c>
      <c r="M7" s="0" t="s">
        <v>864</v>
      </c>
      <c r="N7" s="0" t="n">
        <v>1</v>
      </c>
      <c r="T7" s="0" t="s">
        <v>864</v>
      </c>
      <c r="U7" s="0" t="s">
        <v>810</v>
      </c>
      <c r="Y7" s="0" t="s">
        <v>969</v>
      </c>
      <c r="AB7" s="0" t="s">
        <v>810</v>
      </c>
      <c r="AH7" s="0" t="s">
        <v>970</v>
      </c>
      <c r="AJ7" s="0" t="s">
        <v>971</v>
      </c>
      <c r="AP7" s="0" t="s">
        <v>972</v>
      </c>
    </row>
    <row r="8" customFormat="false" ht="15" hidden="false" customHeight="false" outlineLevel="0" collapsed="false">
      <c r="A8" s="0" t="s">
        <v>973</v>
      </c>
      <c r="B8" s="0" t="s">
        <v>788</v>
      </c>
      <c r="D8" s="0" t="s">
        <v>974</v>
      </c>
      <c r="E8" s="0" t="n">
        <v>1</v>
      </c>
      <c r="F8" s="0" t="n">
        <v>1</v>
      </c>
      <c r="G8" s="0" t="n">
        <v>0</v>
      </c>
      <c r="H8" s="0" t="n">
        <v>0</v>
      </c>
      <c r="J8" s="0" t="s">
        <v>975</v>
      </c>
      <c r="K8" s="0" t="s">
        <v>976</v>
      </c>
      <c r="L8" s="0" t="s">
        <v>866</v>
      </c>
      <c r="M8" s="0" t="s">
        <v>866</v>
      </c>
      <c r="N8" s="0" t="n">
        <v>0</v>
      </c>
      <c r="T8" s="0" t="s">
        <v>977</v>
      </c>
      <c r="Y8" s="0" t="s">
        <v>978</v>
      </c>
      <c r="AH8" s="0" t="s">
        <v>979</v>
      </c>
      <c r="AP8" s="0" t="s">
        <v>980</v>
      </c>
    </row>
    <row r="9" customFormat="false" ht="15" hidden="false" customHeight="false" outlineLevel="0" collapsed="false">
      <c r="A9" s="0" t="s">
        <v>981</v>
      </c>
      <c r="B9" s="0" t="s">
        <v>788</v>
      </c>
      <c r="D9" s="0" t="s">
        <v>982</v>
      </c>
      <c r="E9" s="0" t="n">
        <v>1</v>
      </c>
      <c r="F9" s="0" t="n">
        <v>1</v>
      </c>
      <c r="G9" s="0" t="n">
        <v>0</v>
      </c>
      <c r="H9" s="0" t="n">
        <v>0</v>
      </c>
      <c r="J9" s="0" t="s">
        <v>103</v>
      </c>
      <c r="K9" s="0" t="s">
        <v>983</v>
      </c>
      <c r="L9" s="0" t="s">
        <v>806</v>
      </c>
      <c r="M9" s="0" t="s">
        <v>984</v>
      </c>
      <c r="N9" s="0" t="n">
        <v>0</v>
      </c>
      <c r="Y9" s="0" t="s">
        <v>985</v>
      </c>
      <c r="AH9" s="0" t="s">
        <v>986</v>
      </c>
      <c r="AP9" s="0" t="s">
        <v>987</v>
      </c>
    </row>
    <row r="10" customFormat="false" ht="15" hidden="false" customHeight="false" outlineLevel="0" collapsed="false">
      <c r="A10" s="0" t="s">
        <v>447</v>
      </c>
      <c r="B10" s="0" t="s">
        <v>789</v>
      </c>
      <c r="D10" s="0" t="s">
        <v>988</v>
      </c>
      <c r="E10" s="0" t="n">
        <v>1</v>
      </c>
      <c r="F10" s="0" t="n">
        <v>1</v>
      </c>
      <c r="G10" s="0" t="n">
        <v>0</v>
      </c>
      <c r="H10" s="0" t="n">
        <v>0</v>
      </c>
      <c r="J10" s="0" t="s">
        <v>805</v>
      </c>
      <c r="K10" s="0" t="s">
        <v>989</v>
      </c>
      <c r="L10" s="0" t="s">
        <v>806</v>
      </c>
      <c r="M10" s="0" t="s">
        <v>984</v>
      </c>
      <c r="N10" s="0" t="n">
        <v>0</v>
      </c>
      <c r="Y10" s="0" t="s">
        <v>810</v>
      </c>
      <c r="AP10" s="0" t="s">
        <v>990</v>
      </c>
    </row>
    <row r="11" customFormat="false" ht="15" hidden="false" customHeight="false" outlineLevel="0" collapsed="false">
      <c r="A11" s="0" t="s">
        <v>991</v>
      </c>
      <c r="B11" s="0" t="s">
        <v>790</v>
      </c>
      <c r="D11" s="0" t="s">
        <v>83</v>
      </c>
      <c r="E11" s="0" t="n">
        <v>0</v>
      </c>
      <c r="F11" s="0" t="n">
        <v>1</v>
      </c>
      <c r="G11" s="0" t="n">
        <v>0</v>
      </c>
      <c r="H11" s="0" t="n">
        <v>0</v>
      </c>
      <c r="J11" s="0" t="s">
        <v>992</v>
      </c>
      <c r="K11" s="0" t="s">
        <v>989</v>
      </c>
      <c r="L11" s="0" t="s">
        <v>919</v>
      </c>
      <c r="M11" s="0" t="s">
        <v>993</v>
      </c>
      <c r="N11" s="0" t="n">
        <v>0</v>
      </c>
      <c r="AP11" s="0" t="s">
        <v>994</v>
      </c>
    </row>
    <row r="12" customFormat="false" ht="15" hidden="false" customHeight="false" outlineLevel="0" collapsed="false">
      <c r="A12" s="0" t="s">
        <v>995</v>
      </c>
      <c r="B12" s="0" t="s">
        <v>790</v>
      </c>
      <c r="D12" s="0" t="s">
        <v>996</v>
      </c>
      <c r="E12" s="0" t="n">
        <v>1</v>
      </c>
      <c r="F12" s="0" t="n">
        <v>1</v>
      </c>
      <c r="G12" s="0" t="n">
        <v>0</v>
      </c>
      <c r="H12" s="0" t="n">
        <v>0</v>
      </c>
      <c r="J12" s="0" t="s">
        <v>997</v>
      </c>
      <c r="K12" s="0" t="s">
        <v>998</v>
      </c>
      <c r="M12" s="0" t="s">
        <v>999</v>
      </c>
      <c r="N12" s="0" t="n">
        <v>0</v>
      </c>
      <c r="AP12" s="0" t="s">
        <v>1000</v>
      </c>
    </row>
    <row r="13" customFormat="false" ht="15" hidden="false" customHeight="false" outlineLevel="0" collapsed="false">
      <c r="D13" s="0" t="s">
        <v>1001</v>
      </c>
      <c r="E13" s="0" t="n">
        <v>1</v>
      </c>
      <c r="F13" s="0" t="n">
        <v>0</v>
      </c>
      <c r="G13" s="0" t="n">
        <v>0</v>
      </c>
      <c r="H13" s="0" t="n">
        <v>1</v>
      </c>
      <c r="J13" s="0" t="s">
        <v>1002</v>
      </c>
      <c r="K13" s="0" t="s">
        <v>1003</v>
      </c>
      <c r="L13" s="0" t="s">
        <v>797</v>
      </c>
      <c r="M13" s="0" t="s">
        <v>797</v>
      </c>
      <c r="N13" s="0" t="n">
        <v>0</v>
      </c>
    </row>
    <row r="14" customFormat="false" ht="15" hidden="false" customHeight="false" outlineLevel="0" collapsed="false">
      <c r="D14" s="0" t="s">
        <v>879</v>
      </c>
      <c r="E14" s="0" t="n">
        <v>1</v>
      </c>
      <c r="F14" s="0" t="n">
        <v>1</v>
      </c>
      <c r="G14" s="0" t="n">
        <v>0</v>
      </c>
      <c r="H14" s="0" t="n">
        <v>0</v>
      </c>
      <c r="J14" s="0" t="s">
        <v>1004</v>
      </c>
      <c r="K14" s="0" t="s">
        <v>1005</v>
      </c>
      <c r="L14" s="0" t="s">
        <v>797</v>
      </c>
      <c r="M14" s="0" t="s">
        <v>797</v>
      </c>
      <c r="N14" s="0" t="n">
        <v>0</v>
      </c>
    </row>
    <row r="15" customFormat="false" ht="15" hidden="false" customHeight="false" outlineLevel="0" collapsed="false">
      <c r="D15" s="0" t="s">
        <v>1006</v>
      </c>
      <c r="E15" s="0" t="n">
        <v>1</v>
      </c>
      <c r="F15" s="0" t="n">
        <v>0</v>
      </c>
      <c r="G15" s="0" t="n">
        <v>0</v>
      </c>
      <c r="H15" s="0" t="n">
        <v>0</v>
      </c>
      <c r="J15" s="0" t="s">
        <v>1007</v>
      </c>
      <c r="K15" s="0" t="s">
        <v>1008</v>
      </c>
      <c r="L15" s="0" t="s">
        <v>956</v>
      </c>
      <c r="M15" s="0" t="s">
        <v>956</v>
      </c>
      <c r="N15" s="0" t="n">
        <v>0</v>
      </c>
    </row>
    <row r="16" customFormat="false" ht="15" hidden="false" customHeight="false" outlineLevel="0" collapsed="false">
      <c r="D16" s="0" t="s">
        <v>1009</v>
      </c>
      <c r="E16" s="0" t="n">
        <v>0</v>
      </c>
      <c r="F16" s="0" t="n">
        <v>0</v>
      </c>
      <c r="G16" s="0" t="n">
        <v>0</v>
      </c>
      <c r="H16" s="0" t="n">
        <v>0</v>
      </c>
      <c r="J16" s="0" t="s">
        <v>1010</v>
      </c>
      <c r="K16" s="0" t="s">
        <v>1011</v>
      </c>
      <c r="L16" s="0" t="s">
        <v>956</v>
      </c>
      <c r="M16" s="0" t="s">
        <v>956</v>
      </c>
      <c r="N16" s="0" t="n">
        <v>0</v>
      </c>
    </row>
    <row r="17" customFormat="false" ht="15" hidden="false" customHeight="false" outlineLevel="0" collapsed="false">
      <c r="D17" s="0" t="s">
        <v>1012</v>
      </c>
      <c r="E17" s="0" t="n">
        <v>1</v>
      </c>
      <c r="F17" s="0" t="n">
        <v>1</v>
      </c>
      <c r="G17" s="0" t="n">
        <v>0</v>
      </c>
      <c r="H17" s="0" t="n">
        <v>0</v>
      </c>
      <c r="J17" s="0" t="s">
        <v>1013</v>
      </c>
      <c r="K17" s="0" t="s">
        <v>1014</v>
      </c>
      <c r="L17" s="0" t="s">
        <v>956</v>
      </c>
      <c r="M17" s="0" t="s">
        <v>956</v>
      </c>
      <c r="N17" s="0" t="n">
        <v>0</v>
      </c>
    </row>
    <row r="18" customFormat="false" ht="15" hidden="false" customHeight="false" outlineLevel="0" collapsed="false">
      <c r="J18" s="0" t="s">
        <v>1015</v>
      </c>
      <c r="K18" s="0" t="s">
        <v>1016</v>
      </c>
      <c r="L18" s="0" t="s">
        <v>956</v>
      </c>
      <c r="M18" s="0" t="s">
        <v>956</v>
      </c>
      <c r="N18" s="0" t="n">
        <v>0</v>
      </c>
    </row>
    <row r="19" customFormat="false" ht="15" hidden="false" customHeight="false" outlineLevel="0" collapsed="false">
      <c r="J19" s="0" t="s">
        <v>1017</v>
      </c>
      <c r="K19" s="0" t="s">
        <v>1018</v>
      </c>
      <c r="L19" s="0" t="s">
        <v>956</v>
      </c>
      <c r="M19" s="0" t="s">
        <v>956</v>
      </c>
      <c r="N19" s="0" t="n">
        <v>0</v>
      </c>
    </row>
    <row r="20" customFormat="false" ht="15" hidden="false" customHeight="false" outlineLevel="0" collapsed="false">
      <c r="J20" s="0" t="s">
        <v>1019</v>
      </c>
      <c r="K20" s="0" t="s">
        <v>1020</v>
      </c>
      <c r="L20" s="0" t="s">
        <v>956</v>
      </c>
      <c r="M20" s="0" t="s">
        <v>956</v>
      </c>
      <c r="N20" s="0" t="n">
        <v>0</v>
      </c>
    </row>
    <row r="21" customFormat="false" ht="15" hidden="false" customHeight="false" outlineLevel="0" collapsed="false">
      <c r="J21" s="0" t="s">
        <v>1021</v>
      </c>
      <c r="K21" s="0" t="s">
        <v>1022</v>
      </c>
      <c r="L21" s="0" t="s">
        <v>806</v>
      </c>
      <c r="M21" s="0" t="s">
        <v>984</v>
      </c>
      <c r="N21" s="0" t="n">
        <v>0</v>
      </c>
    </row>
    <row r="22" customFormat="false" ht="15" hidden="false" customHeight="false" outlineLevel="0" collapsed="false">
      <c r="J22" s="0" t="s">
        <v>1023</v>
      </c>
      <c r="K22" s="0" t="s">
        <v>1024</v>
      </c>
      <c r="L22" s="0" t="s">
        <v>956</v>
      </c>
      <c r="M22" s="0" t="s">
        <v>956</v>
      </c>
      <c r="N22" s="0" t="n">
        <v>0</v>
      </c>
    </row>
    <row r="23" customFormat="false" ht="15" hidden="false" customHeight="false" outlineLevel="0" collapsed="false">
      <c r="J23" s="0" t="s">
        <v>1025</v>
      </c>
      <c r="K23" s="0" t="s">
        <v>1026</v>
      </c>
      <c r="L23" s="0" t="s">
        <v>977</v>
      </c>
      <c r="M23" s="0" t="s">
        <v>977</v>
      </c>
      <c r="N23" s="0" t="n">
        <v>0</v>
      </c>
    </row>
    <row r="24" customFormat="false" ht="15" hidden="false" customHeight="false" outlineLevel="0" collapsed="false">
      <c r="J24" s="0" t="s">
        <v>1027</v>
      </c>
      <c r="K24" s="0" t="s">
        <v>1028</v>
      </c>
      <c r="L24" s="0" t="s">
        <v>977</v>
      </c>
      <c r="M24" s="0" t="s">
        <v>977</v>
      </c>
      <c r="N24" s="0" t="n">
        <v>0</v>
      </c>
    </row>
    <row r="25" customFormat="false" ht="15" hidden="false" customHeight="false" outlineLevel="0" collapsed="false">
      <c r="J25" s="0" t="s">
        <v>1029</v>
      </c>
      <c r="K25" s="0" t="s">
        <v>1030</v>
      </c>
      <c r="L25" s="0" t="s">
        <v>977</v>
      </c>
      <c r="M25" s="0" t="s">
        <v>977</v>
      </c>
      <c r="N25" s="0" t="n">
        <v>0</v>
      </c>
    </row>
    <row r="26" customFormat="false" ht="15" hidden="false" customHeight="false" outlineLevel="0" collapsed="false">
      <c r="J26" s="0" t="s">
        <v>1031</v>
      </c>
      <c r="K26" s="0" t="s">
        <v>1032</v>
      </c>
      <c r="L26" s="0" t="s">
        <v>977</v>
      </c>
      <c r="M26" s="0" t="s">
        <v>977</v>
      </c>
      <c r="N26" s="0" t="n">
        <v>0</v>
      </c>
    </row>
    <row r="27" customFormat="false" ht="15" hidden="false" customHeight="false" outlineLevel="0" collapsed="false">
      <c r="J27" s="0" t="s">
        <v>1033</v>
      </c>
      <c r="K27" s="0" t="s">
        <v>1034</v>
      </c>
      <c r="L27" s="0" t="s">
        <v>977</v>
      </c>
      <c r="M27" s="0" t="s">
        <v>977</v>
      </c>
      <c r="N27" s="0" t="n">
        <v>0</v>
      </c>
    </row>
    <row r="28" customFormat="false" ht="15" hidden="false" customHeight="false" outlineLevel="0" collapsed="false">
      <c r="J28" s="0" t="s">
        <v>1035</v>
      </c>
      <c r="K28" s="0" t="s">
        <v>1036</v>
      </c>
      <c r="M28" s="0" t="s">
        <v>1037</v>
      </c>
      <c r="N28" s="0" t="n">
        <v>0</v>
      </c>
    </row>
    <row r="29" customFormat="false" ht="15" hidden="false" customHeight="false" outlineLevel="0" collapsed="false">
      <c r="J29" s="0" t="s">
        <v>1038</v>
      </c>
      <c r="N29" s="0" t="n">
        <v>0</v>
      </c>
    </row>
    <row r="31" customFormat="false" ht="15" hidden="false" customHeight="false" outlineLevel="0" collapsed="false">
      <c r="J31" s="33" t="s">
        <v>1039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2026-10-20T15:25:55Z</dcterms:created>
  <dc:creator>openpyxl</dc:creator>
  <dc:description/>
  <dc:language>en-US</dc:language>
  <cp:lastModifiedBy/>
  <dcterms:modified xsi:type="dcterms:W3CDTF">2026-10-20T15:25:56Z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